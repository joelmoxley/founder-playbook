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7526"/>
  <workbookPr filterPrivacy="1" autoCompressPictures="0"/>
  <bookViews>
    <workbookView xWindow="0" yWindow="0" windowWidth="20480" windowHeight="14420" tabRatio="777" activeTab="4"/>
  </bookViews>
  <sheets>
    <sheet name="Summary Cap" sheetId="4" r:id="rId1"/>
    <sheet name="Shareholder List" sheetId="10" r:id="rId2"/>
    <sheet name="Common Stock" sheetId="3" r:id="rId3"/>
    <sheet name="FF Preferred" sheetId="7" r:id="rId4"/>
    <sheet name="2015 Option Plan" sheetId="6" r:id="rId5"/>
    <sheet name="Convertible Notes" sheetId="11" r:id="rId6"/>
    <sheet name="Series A Preferred" sheetId="9" r:id="rId7"/>
  </sheets>
  <definedNames>
    <definedName name="_xlnm.Print_Area" localSheetId="4">'2015 Option Plan'!$A$1:$M$21</definedName>
    <definedName name="_xlnm.Print_Area" localSheetId="2">'Common Stock'!$A$1:$I$14</definedName>
    <definedName name="_xlnm.Print_Area" localSheetId="3">'FF Preferred'!$A$1:$D$12</definedName>
    <definedName name="_xlnm.Print_Area" localSheetId="0">'Summary Cap'!$A$1:$M$33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" i="7" l="1"/>
  <c r="C11" i="7"/>
  <c r="D3" i="9"/>
  <c r="C31" i="4"/>
  <c r="C33" i="4"/>
  <c r="E25" i="4"/>
  <c r="H25" i="4"/>
  <c r="I25" i="4"/>
  <c r="I26" i="4"/>
  <c r="B28" i="4"/>
  <c r="K23" i="4"/>
  <c r="I28" i="4"/>
  <c r="B8" i="4"/>
  <c r="B7" i="4"/>
  <c r="B31" i="4"/>
  <c r="B33" i="4"/>
  <c r="B6" i="4"/>
  <c r="D4" i="9"/>
  <c r="J13" i="10"/>
  <c r="B6" i="11"/>
  <c r="B10" i="11"/>
  <c r="D9" i="11"/>
  <c r="E9" i="11"/>
  <c r="F9" i="11"/>
  <c r="D7" i="10"/>
  <c r="D6" i="10"/>
  <c r="D5" i="10"/>
  <c r="B11" i="10"/>
  <c r="B10" i="10"/>
  <c r="G10" i="10"/>
  <c r="B9" i="10"/>
  <c r="G9" i="10"/>
  <c r="B8" i="10"/>
  <c r="G8" i="10"/>
  <c r="B7" i="10"/>
  <c r="G7" i="10"/>
  <c r="B6" i="10"/>
  <c r="G6" i="10"/>
  <c r="B5" i="10"/>
  <c r="B28" i="3"/>
  <c r="B27" i="3"/>
  <c r="B26" i="3"/>
  <c r="B25" i="3"/>
  <c r="B24" i="3"/>
  <c r="B23" i="3"/>
  <c r="A28" i="3"/>
  <c r="A27" i="3"/>
  <c r="A26" i="3"/>
  <c r="A25" i="3"/>
  <c r="A24" i="3"/>
  <c r="A23" i="3"/>
  <c r="B12" i="7"/>
  <c r="B14" i="3"/>
  <c r="B4" i="10"/>
  <c r="E14" i="10"/>
  <c r="B29" i="3"/>
  <c r="A29" i="3"/>
  <c r="D4" i="10"/>
  <c r="A22" i="3"/>
  <c r="B22" i="3"/>
  <c r="D14" i="10"/>
  <c r="G5" i="10"/>
  <c r="K5" i="10"/>
  <c r="K7" i="10"/>
  <c r="K6" i="10"/>
  <c r="K10" i="10"/>
  <c r="K9" i="10"/>
  <c r="K8" i="10"/>
  <c r="E10" i="11"/>
  <c r="G9" i="11"/>
  <c r="H9" i="11"/>
  <c r="G11" i="10"/>
  <c r="G4" i="10"/>
  <c r="K11" i="10"/>
  <c r="F10" i="11"/>
  <c r="G10" i="11"/>
  <c r="C32" i="4"/>
  <c r="B4" i="6"/>
  <c r="H10" i="11"/>
  <c r="B38" i="4"/>
  <c r="K4" i="10"/>
  <c r="C12" i="7"/>
  <c r="B39" i="4"/>
  <c r="B44" i="4"/>
  <c r="D32" i="4"/>
  <c r="F14" i="4"/>
  <c r="B25" i="4"/>
  <c r="C25" i="4"/>
  <c r="G24" i="4"/>
  <c r="G23" i="4"/>
  <c r="B16" i="6"/>
  <c r="B24" i="4"/>
  <c r="C24" i="4"/>
  <c r="D15" i="4"/>
  <c r="G16" i="4"/>
  <c r="B15" i="6"/>
  <c r="B17" i="6"/>
  <c r="B8" i="6"/>
  <c r="B12" i="10"/>
  <c r="G26" i="4"/>
  <c r="F16" i="4"/>
  <c r="B30" i="3"/>
  <c r="K14" i="4"/>
  <c r="F23" i="4"/>
  <c r="F26" i="4"/>
  <c r="D25" i="4"/>
  <c r="E15" i="4"/>
  <c r="D24" i="4"/>
  <c r="C27" i="3"/>
  <c r="C23" i="3"/>
  <c r="C28" i="3"/>
  <c r="C24" i="3"/>
  <c r="C25" i="3"/>
  <c r="C26" i="3"/>
  <c r="G12" i="10"/>
  <c r="B14" i="10"/>
  <c r="C12" i="10"/>
  <c r="K13" i="10"/>
  <c r="C29" i="3"/>
  <c r="B41" i="4"/>
  <c r="E24" i="4"/>
  <c r="H24" i="4"/>
  <c r="I24" i="4"/>
  <c r="H15" i="4"/>
  <c r="I15" i="4"/>
  <c r="B3" i="9"/>
  <c r="B4" i="9"/>
  <c r="E14" i="4"/>
  <c r="C22" i="3"/>
  <c r="C4" i="10"/>
  <c r="C6" i="10"/>
  <c r="C7" i="10"/>
  <c r="C9" i="10"/>
  <c r="C8" i="10"/>
  <c r="C5" i="10"/>
  <c r="C11" i="10"/>
  <c r="C10" i="10"/>
  <c r="G14" i="10"/>
  <c r="H12" i="10"/>
  <c r="C30" i="3"/>
  <c r="E16" i="4"/>
  <c r="H14" i="4"/>
  <c r="B40" i="4"/>
  <c r="B42" i="4"/>
  <c r="E23" i="4"/>
  <c r="C14" i="10"/>
  <c r="H6" i="10"/>
  <c r="H5" i="10"/>
  <c r="H8" i="10"/>
  <c r="H7" i="10"/>
  <c r="H10" i="10"/>
  <c r="H9" i="10"/>
  <c r="H4" i="10"/>
  <c r="H11" i="10"/>
  <c r="I14" i="4"/>
  <c r="H16" i="4"/>
  <c r="H23" i="4"/>
  <c r="I16" i="4"/>
  <c r="I23" i="4"/>
  <c r="I18" i="4"/>
  <c r="J15" i="4"/>
  <c r="J14" i="4"/>
  <c r="D25" i="3"/>
  <c r="D26" i="3"/>
  <c r="D27" i="3"/>
  <c r="D23" i="3"/>
  <c r="D28" i="3"/>
  <c r="D24" i="3"/>
  <c r="D29" i="3"/>
  <c r="D22" i="3"/>
  <c r="J16" i="4"/>
  <c r="L16" i="4"/>
  <c r="L15" i="4"/>
  <c r="L14" i="4"/>
  <c r="D30" i="3"/>
  <c r="D12" i="7"/>
  <c r="L17" i="4"/>
  <c r="H13" i="10"/>
  <c r="D31" i="4"/>
  <c r="D33" i="4"/>
  <c r="E3" i="9"/>
  <c r="E26" i="4"/>
  <c r="H14" i="10"/>
  <c r="D6" i="9"/>
  <c r="H26" i="4"/>
  <c r="J25" i="4"/>
  <c r="B13" i="6"/>
  <c r="J24" i="4"/>
  <c r="J23" i="4"/>
  <c r="J12" i="10"/>
  <c r="J26" i="4"/>
  <c r="K12" i="10"/>
  <c r="B18" i="6"/>
  <c r="B43" i="4"/>
  <c r="E32" i="4"/>
  <c r="K14" i="10"/>
  <c r="E31" i="4"/>
  <c r="E33" i="4"/>
  <c r="L26" i="4"/>
  <c r="F3" i="9"/>
  <c r="L24" i="4"/>
  <c r="L23" i="4"/>
  <c r="L25" i="4"/>
  <c r="L10" i="10"/>
  <c r="L6" i="10"/>
  <c r="L8" i="10"/>
  <c r="L13" i="10"/>
  <c r="L5" i="10"/>
  <c r="L11" i="10"/>
  <c r="L7" i="10"/>
  <c r="L4" i="10"/>
  <c r="L9" i="10"/>
  <c r="L12" i="10"/>
  <c r="L27" i="4"/>
  <c r="L14" i="10"/>
</calcChain>
</file>

<file path=xl/sharedStrings.xml><?xml version="1.0" encoding="utf-8"?>
<sst xmlns="http://schemas.openxmlformats.org/spreadsheetml/2006/main" count="163" uniqueCount="125">
  <si>
    <t>Outstanding</t>
  </si>
  <si>
    <t>Class</t>
  </si>
  <si>
    <t>Common Stock</t>
  </si>
  <si>
    <t xml:space="preserve">Fully Diluted </t>
  </si>
  <si>
    <t>Total</t>
  </si>
  <si>
    <t>Ownership</t>
  </si>
  <si>
    <t>Shareholders</t>
  </si>
  <si>
    <t>Common</t>
  </si>
  <si>
    <t>Pre-Money Valuation</t>
  </si>
  <si>
    <t>Post-Closing Valuation</t>
  </si>
  <si>
    <t>Base Conversion Price</t>
  </si>
  <si>
    <t>Current Conversion Price</t>
  </si>
  <si>
    <t>Current Conversion Ratio</t>
  </si>
  <si>
    <t>Shares Outstanding</t>
  </si>
  <si>
    <t>Options Outstanding</t>
  </si>
  <si>
    <t>Warrants Outstanding</t>
  </si>
  <si>
    <t>Total Outstanding</t>
  </si>
  <si>
    <t>Total Common Equiv. O/S</t>
  </si>
  <si>
    <t>Percentage</t>
  </si>
  <si>
    <t>Remaining Option Pool</t>
  </si>
  <si>
    <t>Fully Diluted Percentage</t>
  </si>
  <si>
    <t>Fully-Diluted Shares</t>
  </si>
  <si>
    <t>Prior Conversion Price</t>
  </si>
  <si>
    <t>Adjusted Conversion Price</t>
  </si>
  <si>
    <t>Adjusted Conversion Ratio</t>
  </si>
  <si>
    <t xml:space="preserve"> </t>
  </si>
  <si>
    <t>Series A Price</t>
  </si>
  <si>
    <t>ISO Refresh with Series A Financing</t>
  </si>
  <si>
    <t>Target Post Closing Option Pool</t>
  </si>
  <si>
    <t>Pro Forma Series A Financing Calculator</t>
  </si>
  <si>
    <t>Shares Reserved for Issuance</t>
  </si>
  <si>
    <t>Options Issued and Outstanding</t>
  </si>
  <si>
    <t>Options Exercised</t>
  </si>
  <si>
    <t>Options Returned to Plan</t>
  </si>
  <si>
    <t>Options Avaliable For Grant</t>
  </si>
  <si>
    <t>Investment</t>
  </si>
  <si>
    <t>Series A (%)</t>
  </si>
  <si>
    <t>Fully Diluted (%)</t>
  </si>
  <si>
    <t>Amount Raised</t>
  </si>
  <si>
    <t>Stockholders</t>
  </si>
  <si>
    <t>Sereis A Shares</t>
  </si>
  <si>
    <t>Common Stockholders--Current</t>
  </si>
  <si>
    <t>Pre Series A</t>
  </si>
  <si>
    <t>Restricted Stock Grants</t>
  </si>
  <si>
    <t>Common Stockholders--Post Recapitalization</t>
  </si>
  <si>
    <t>Pre Series A Preferred Stock Financing/Post Common Recap</t>
  </si>
  <si>
    <t>Post Series A Preferred Stock Fianncing</t>
  </si>
  <si>
    <t>Post Series A Closing Option Numbers</t>
  </si>
  <si>
    <t>Series A %</t>
  </si>
  <si>
    <t>Fully-Diluted %</t>
  </si>
  <si>
    <t>Ownership with</t>
  </si>
  <si>
    <t>Series A from Convertible Notes</t>
  </si>
  <si>
    <t>Total Series A</t>
  </si>
  <si>
    <t>Lead Investors</t>
  </si>
  <si>
    <t>Fully Diluted</t>
  </si>
  <si>
    <t>Shareholder List</t>
  </si>
  <si>
    <t>Total Ownership</t>
  </si>
  <si>
    <t>Ownership Percentage</t>
  </si>
  <si>
    <t>Options Available for Issuance</t>
  </si>
  <si>
    <t>Fully Diluted Initial</t>
  </si>
  <si>
    <t>Series A New Money Investors</t>
  </si>
  <si>
    <t>Total Common Stock Issued</t>
  </si>
  <si>
    <t>A&amp;R Charter</t>
  </si>
  <si>
    <t>Common Shares</t>
  </si>
  <si>
    <t>Common Shares for Preferred Conversion</t>
  </si>
  <si>
    <t>total number of shares of all stock</t>
  </si>
  <si>
    <t>total common stock</t>
  </si>
  <si>
    <t>total preferred stock</t>
  </si>
  <si>
    <t>Stock</t>
  </si>
  <si>
    <t>Stock Plan</t>
  </si>
  <si>
    <t>Option Plan--Current</t>
  </si>
  <si>
    <t>FF Preferred Stock</t>
  </si>
  <si>
    <t>FF Preferred</t>
  </si>
  <si>
    <t xml:space="preserve"> Investors</t>
  </si>
  <si>
    <t>Series FF Preferred Stock</t>
  </si>
  <si>
    <t>Series FF Preferred</t>
  </si>
  <si>
    <t>Series FF Preferred Stockholders--Current</t>
  </si>
  <si>
    <t>Investors</t>
  </si>
  <si>
    <t>Stock Grants</t>
  </si>
  <si>
    <t xml:space="preserve">Restricted </t>
  </si>
  <si>
    <t xml:space="preserve">FF Preferred </t>
  </si>
  <si>
    <t xml:space="preserve">Common </t>
  </si>
  <si>
    <t>Preferred</t>
  </si>
  <si>
    <t>$3M Pre-Money</t>
  </si>
  <si>
    <t>$4M Pre-Money</t>
  </si>
  <si>
    <t xml:space="preserve">Series A </t>
  </si>
  <si>
    <t>Total Series A Preferred Total</t>
  </si>
  <si>
    <t>Total Preferred (FF Preferred + Series A)</t>
  </si>
  <si>
    <t>$3.5M Pre-Money</t>
  </si>
  <si>
    <t>Series A Preferred Stock</t>
  </si>
  <si>
    <t>Series A Investors</t>
  </si>
  <si>
    <t>$4.5M Pre-Money</t>
  </si>
  <si>
    <t>Series A Investor</t>
  </si>
  <si>
    <t>Convertible Note Holders</t>
  </si>
  <si>
    <t xml:space="preserve"> Convertible Note Holders</t>
  </si>
  <si>
    <t>Convertible Noteholders</t>
  </si>
  <si>
    <t>Conversion Date:</t>
  </si>
  <si>
    <t>Interest Rate</t>
  </si>
  <si>
    <t>Fully Dilited Shares</t>
  </si>
  <si>
    <t>Discount to Series A</t>
  </si>
  <si>
    <t>Conversion Price  (i)</t>
  </si>
  <si>
    <t>Noteholders</t>
  </si>
  <si>
    <t>Principal</t>
  </si>
  <si>
    <t>Issuance Date</t>
  </si>
  <si>
    <t>Days Outstanding</t>
  </si>
  <si>
    <t>Accrued Interest</t>
  </si>
  <si>
    <t>Principal and Interest</t>
  </si>
  <si>
    <t>Series A Shares</t>
  </si>
  <si>
    <t>Cash Payment</t>
  </si>
  <si>
    <t>$5M Pre-Money</t>
  </si>
  <si>
    <t>$5.5M Pre-Money</t>
  </si>
  <si>
    <t>$6M Pre-Money</t>
  </si>
  <si>
    <t>SavetheWhales</t>
  </si>
  <si>
    <t>Shareholder 1</t>
  </si>
  <si>
    <t>Shareholder 2</t>
  </si>
  <si>
    <t>Shareholder 3</t>
  </si>
  <si>
    <t>Shareholder 4</t>
  </si>
  <si>
    <t>Shareholder 5</t>
  </si>
  <si>
    <t>Shareholder 6</t>
  </si>
  <si>
    <t>Shareholder 7</t>
  </si>
  <si>
    <t>Shareholder 8</t>
  </si>
  <si>
    <t>Sharedholder 1</t>
  </si>
  <si>
    <t>Sharedholder 2</t>
  </si>
  <si>
    <t>Sharedholder 3</t>
  </si>
  <si>
    <t>Sharedholder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</si>
</sst>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,##0;[Red]#,##0"/>
    <numFmt numFmtId="169" formatCode="0.000%"/>
    <numFmt numFmtId="170" formatCode="_(* #,##0_);_(* \(#,##0\);_(* &quot;-&quot;??_);_(@_)"/>
    <numFmt numFmtId="171" formatCode="0.0%"/>
    <numFmt numFmtId="172" formatCode="_(&quot;$&quot;* #,##0.0000_);_(&quot;$&quot;* \(#,##0.0000\);_(&quot;$&quot;* &quot;-&quot;??_);_(@_)"/>
    <numFmt numFmtId="173" formatCode="_(&quot;$&quot;* #,##0.0000000_);_(&quot;$&quot;* \(#,##0.0000000\);_(&quot;$&quot;* &quot;-&quot;??_);_(@_)"/>
    <numFmt numFmtId="174" formatCode="0.0000"/>
    <numFmt numFmtId="175" formatCode="0.00000000%"/>
    <numFmt numFmtId="176" formatCode="&quot;$&quot;#,##0.00"/>
    <numFmt numFmtId="177" formatCode="&quot;$&quot;#,##0.0000_);[Red]\(&quot;$&quot;#,##0.0000\)"/>
    <numFmt numFmtId="178" formatCode="0.00000%"/>
    <numFmt numFmtId="179" formatCode="_(* #,##0.00_);_(* \(#,##0.00\);_(* &quot;-&quot;????_);_(@_)"/>
    <numFmt numFmtId="180" formatCode="m/d/yy;@"/>
    <numFmt numFmtId="181" formatCode="0.0000%"/>
  </numFmts>
  <fonts count="1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sz val="10"/>
      <color indexed="9"/>
      <name val="Times New Roman"/>
      <family val="1"/>
    </font>
    <font>
      <sz val="10"/>
      <color indexed="8"/>
      <name val="Times New Roman"/>
      <family val="1"/>
    </font>
    <font>
      <u val="singleAccounting"/>
      <sz val="10"/>
      <name val="Times New Roman"/>
      <family val="1"/>
    </font>
    <font>
      <sz val="1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color rgb="FFFF00FF"/>
      <name val="Times New Roman"/>
      <family val="1"/>
    </font>
    <font>
      <b/>
      <sz val="9"/>
      <color theme="0"/>
      <name val="Times New Roman"/>
      <family val="1"/>
    </font>
    <font>
      <sz val="12"/>
      <name val="Times New Roman"/>
      <family val="1"/>
    </font>
    <font>
      <u/>
      <sz val="10"/>
      <color theme="10"/>
      <name val="Arial"/>
    </font>
    <font>
      <u/>
      <sz val="10"/>
      <color theme="11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185">
    <xf numFmtId="0" fontId="0" fillId="0" borderId="0" xfId="0"/>
    <xf numFmtId="3" fontId="4" fillId="0" borderId="0" xfId="0" applyNumberFormat="1" applyFont="1" applyBorder="1" applyAlignment="1">
      <alignment horizontal="center" vertical="top"/>
    </xf>
    <xf numFmtId="168" fontId="4" fillId="0" borderId="0" xfId="0" applyNumberFormat="1" applyFont="1" applyBorder="1" applyAlignment="1">
      <alignment horizontal="center" vertical="top"/>
    </xf>
    <xf numFmtId="169" fontId="4" fillId="0" borderId="0" xfId="3" applyNumberFormat="1" applyFont="1" applyFill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3" fontId="4" fillId="0" borderId="0" xfId="0" applyNumberFormat="1" applyFont="1" applyBorder="1" applyAlignment="1">
      <alignment horizontal="center" vertical="top" wrapText="1"/>
    </xf>
    <xf numFmtId="168" fontId="4" fillId="0" borderId="0" xfId="0" applyNumberFormat="1" applyFont="1" applyBorder="1" applyAlignment="1">
      <alignment horizontal="center" vertical="top" wrapText="1"/>
    </xf>
    <xf numFmtId="3" fontId="3" fillId="0" borderId="0" xfId="0" applyNumberFormat="1" applyFont="1" applyBorder="1" applyAlignment="1">
      <alignment horizontal="center" vertical="top"/>
    </xf>
    <xf numFmtId="168" fontId="3" fillId="0" borderId="0" xfId="0" applyNumberFormat="1" applyFont="1" applyBorder="1" applyAlignment="1">
      <alignment horizontal="center" vertical="top"/>
    </xf>
    <xf numFmtId="3" fontId="5" fillId="0" borderId="0" xfId="0" applyNumberFormat="1" applyFont="1" applyBorder="1" applyAlignment="1">
      <alignment horizontal="center" vertical="top"/>
    </xf>
    <xf numFmtId="168" fontId="5" fillId="0" borderId="0" xfId="0" applyNumberFormat="1" applyFont="1" applyBorder="1" applyAlignment="1">
      <alignment horizontal="right" vertical="top"/>
    </xf>
    <xf numFmtId="169" fontId="4" fillId="0" borderId="0" xfId="3" applyNumberFormat="1" applyFont="1" applyFill="1" applyBorder="1" applyAlignment="1">
      <alignment horizontal="right" vertical="top"/>
    </xf>
    <xf numFmtId="10" fontId="4" fillId="0" borderId="0" xfId="3" applyNumberFormat="1" applyFont="1" applyFill="1" applyBorder="1" applyAlignment="1">
      <alignment horizontal="right" vertical="top"/>
    </xf>
    <xf numFmtId="0" fontId="5" fillId="0" borderId="0" xfId="0" applyFont="1" applyBorder="1" applyAlignment="1">
      <alignment vertical="top"/>
    </xf>
    <xf numFmtId="170" fontId="5" fillId="0" borderId="0" xfId="1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right" vertical="top"/>
    </xf>
    <xf numFmtId="0" fontId="5" fillId="0" borderId="0" xfId="0" applyFont="1"/>
    <xf numFmtId="0" fontId="5" fillId="0" borderId="0" xfId="0" applyFont="1" applyFill="1" applyBorder="1" applyAlignment="1">
      <alignment vertical="top"/>
    </xf>
    <xf numFmtId="0" fontId="5" fillId="0" borderId="0" xfId="0" applyFont="1" applyFill="1"/>
    <xf numFmtId="166" fontId="5" fillId="0" borderId="0" xfId="2" applyFont="1" applyFill="1"/>
    <xf numFmtId="2" fontId="5" fillId="0" borderId="0" xfId="0" applyNumberFormat="1" applyFont="1" applyFill="1"/>
    <xf numFmtId="3" fontId="5" fillId="0" borderId="0" xfId="0" applyNumberFormat="1" applyFont="1" applyFill="1"/>
    <xf numFmtId="2" fontId="5" fillId="0" borderId="0" xfId="0" applyNumberFormat="1" applyFont="1" applyFill="1" applyAlignment="1">
      <alignment horizontal="center"/>
    </xf>
    <xf numFmtId="174" fontId="5" fillId="0" borderId="0" xfId="0" applyNumberFormat="1" applyFont="1" applyFill="1"/>
    <xf numFmtId="170" fontId="5" fillId="0" borderId="0" xfId="1" applyNumberFormat="1" applyFont="1" applyFill="1"/>
    <xf numFmtId="172" fontId="5" fillId="0" borderId="0" xfId="2" applyNumberFormat="1" applyFont="1" applyFill="1"/>
    <xf numFmtId="166" fontId="6" fillId="0" borderId="0" xfId="2" applyFont="1" applyFill="1"/>
    <xf numFmtId="2" fontId="4" fillId="0" borderId="0" xfId="0" applyNumberFormat="1" applyFont="1" applyFill="1"/>
    <xf numFmtId="0" fontId="5" fillId="0" borderId="1" xfId="0" applyFont="1" applyFill="1" applyBorder="1" applyAlignment="1">
      <alignment horizontal="center" wrapText="1"/>
    </xf>
    <xf numFmtId="2" fontId="5" fillId="0" borderId="1" xfId="0" applyNumberFormat="1" applyFont="1" applyFill="1" applyBorder="1" applyAlignment="1">
      <alignment horizontal="center" wrapText="1"/>
    </xf>
    <xf numFmtId="174" fontId="5" fillId="0" borderId="1" xfId="0" applyNumberFormat="1" applyFont="1" applyFill="1" applyBorder="1" applyAlignment="1">
      <alignment horizontal="center" wrapText="1"/>
    </xf>
    <xf numFmtId="3" fontId="5" fillId="0" borderId="1" xfId="0" applyNumberFormat="1" applyFont="1" applyFill="1" applyBorder="1" applyAlignment="1">
      <alignment horizontal="center" wrapText="1"/>
    </xf>
    <xf numFmtId="0" fontId="5" fillId="0" borderId="0" xfId="0" applyFont="1" applyFill="1" applyAlignment="1">
      <alignment wrapText="1"/>
    </xf>
    <xf numFmtId="10" fontId="5" fillId="0" borderId="0" xfId="3" applyNumberFormat="1" applyFont="1" applyFill="1"/>
    <xf numFmtId="170" fontId="5" fillId="0" borderId="0" xfId="0" applyNumberFormat="1" applyFont="1" applyFill="1"/>
    <xf numFmtId="170" fontId="6" fillId="0" borderId="0" xfId="1" applyNumberFormat="1" applyFont="1" applyFill="1"/>
    <xf numFmtId="10" fontId="6" fillId="0" borderId="0" xfId="3" applyNumberFormat="1" applyFont="1" applyFill="1"/>
    <xf numFmtId="0" fontId="5" fillId="0" borderId="0" xfId="0" applyFont="1" applyAlignment="1">
      <alignment horizontal="right"/>
    </xf>
    <xf numFmtId="170" fontId="4" fillId="0" borderId="0" xfId="1" applyNumberFormat="1" applyFont="1" applyFill="1"/>
    <xf numFmtId="0" fontId="5" fillId="0" borderId="0" xfId="0" applyFont="1" applyFill="1" applyAlignment="1">
      <alignment horizontal="right"/>
    </xf>
    <xf numFmtId="10" fontId="5" fillId="0" borderId="0" xfId="0" applyNumberFormat="1" applyFont="1" applyFill="1"/>
    <xf numFmtId="165" fontId="5" fillId="0" borderId="0" xfId="0" applyNumberFormat="1" applyFont="1" applyFill="1"/>
    <xf numFmtId="0" fontId="5" fillId="0" borderId="0" xfId="0" applyFont="1" applyFill="1" applyBorder="1" applyAlignment="1">
      <alignment horizontal="center" wrapText="1"/>
    </xf>
    <xf numFmtId="172" fontId="8" fillId="0" borderId="0" xfId="2" applyNumberFormat="1" applyFont="1" applyFill="1" applyBorder="1"/>
    <xf numFmtId="10" fontId="4" fillId="0" borderId="0" xfId="3" applyNumberFormat="1" applyFont="1" applyFill="1"/>
    <xf numFmtId="3" fontId="5" fillId="0" borderId="0" xfId="0" applyNumberFormat="1" applyFont="1" applyFill="1" applyBorder="1" applyAlignment="1">
      <alignment horizontal="center" vertical="top"/>
    </xf>
    <xf numFmtId="168" fontId="5" fillId="0" borderId="0" xfId="0" applyNumberFormat="1" applyFont="1" applyFill="1" applyBorder="1" applyAlignment="1">
      <alignment horizontal="right" vertical="top"/>
    </xf>
    <xf numFmtId="3" fontId="5" fillId="0" borderId="0" xfId="0" applyNumberFormat="1" applyFont="1" applyFill="1" applyAlignment="1">
      <alignment horizontal="left"/>
    </xf>
    <xf numFmtId="170" fontId="5" fillId="0" borderId="0" xfId="0" applyNumberFormat="1" applyFont="1" applyBorder="1" applyAlignment="1">
      <alignment vertical="top"/>
    </xf>
    <xf numFmtId="10" fontId="5" fillId="0" borderId="0" xfId="3" applyNumberFormat="1" applyFont="1" applyBorder="1" applyAlignment="1">
      <alignment vertical="top"/>
    </xf>
    <xf numFmtId="166" fontId="5" fillId="0" borderId="0" xfId="2" applyNumberFormat="1" applyFont="1" applyFill="1"/>
    <xf numFmtId="175" fontId="5" fillId="0" borderId="0" xfId="2" applyNumberFormat="1" applyFont="1" applyFill="1"/>
    <xf numFmtId="170" fontId="5" fillId="5" borderId="0" xfId="1" applyNumberFormat="1" applyFont="1" applyFill="1" applyBorder="1"/>
    <xf numFmtId="170" fontId="5" fillId="5" borderId="0" xfId="0" applyNumberFormat="1" applyFont="1" applyFill="1"/>
    <xf numFmtId="10" fontId="6" fillId="5" borderId="0" xfId="3" applyNumberFormat="1" applyFont="1" applyFill="1"/>
    <xf numFmtId="3" fontId="4" fillId="2" borderId="0" xfId="0" applyNumberFormat="1" applyFont="1" applyFill="1"/>
    <xf numFmtId="170" fontId="5" fillId="0" borderId="0" xfId="1" applyNumberFormat="1" applyFont="1"/>
    <xf numFmtId="0" fontId="3" fillId="0" borderId="0" xfId="0" applyFont="1"/>
    <xf numFmtId="10" fontId="5" fillId="0" borderId="0" xfId="3" applyNumberFormat="1" applyFont="1"/>
    <xf numFmtId="170" fontId="5" fillId="0" borderId="0" xfId="0" applyNumberFormat="1" applyFont="1"/>
    <xf numFmtId="10" fontId="5" fillId="0" borderId="0" xfId="0" applyNumberFormat="1" applyFont="1"/>
    <xf numFmtId="0" fontId="3" fillId="0" borderId="0" xfId="0" applyFont="1" applyBorder="1" applyAlignment="1">
      <alignment vertical="top"/>
    </xf>
    <xf numFmtId="0" fontId="6" fillId="0" borderId="0" xfId="0" applyFont="1" applyBorder="1" applyAlignment="1">
      <alignment horizontal="center" vertical="top"/>
    </xf>
    <xf numFmtId="169" fontId="6" fillId="0" borderId="0" xfId="3" applyNumberFormat="1" applyFont="1" applyFill="1" applyBorder="1" applyAlignment="1">
      <alignment horizontal="center" vertical="top"/>
    </xf>
    <xf numFmtId="166" fontId="4" fillId="0" borderId="0" xfId="0" applyNumberFormat="1" applyFont="1" applyBorder="1" applyAlignment="1">
      <alignment vertical="top"/>
    </xf>
    <xf numFmtId="170" fontId="4" fillId="0" borderId="0" xfId="0" applyNumberFormat="1" applyFont="1" applyBorder="1" applyAlignment="1">
      <alignment vertical="top"/>
    </xf>
    <xf numFmtId="10" fontId="4" fillId="0" borderId="0" xfId="0" applyNumberFormat="1" applyFont="1" applyBorder="1" applyAlignment="1">
      <alignment vertical="top"/>
    </xf>
    <xf numFmtId="0" fontId="6" fillId="0" borderId="0" xfId="0" applyFont="1"/>
    <xf numFmtId="3" fontId="5" fillId="0" borderId="0" xfId="0" applyNumberFormat="1" applyFont="1"/>
    <xf numFmtId="170" fontId="4" fillId="0" borderId="0" xfId="1" applyNumberFormat="1" applyFont="1" applyBorder="1" applyAlignment="1">
      <alignment horizontal="right" vertical="top"/>
    </xf>
    <xf numFmtId="10" fontId="4" fillId="0" borderId="0" xfId="3" applyNumberFormat="1" applyFont="1" applyBorder="1" applyAlignment="1">
      <alignment horizontal="right" vertical="top"/>
    </xf>
    <xf numFmtId="167" fontId="5" fillId="0" borderId="0" xfId="1" applyFont="1"/>
    <xf numFmtId="170" fontId="4" fillId="0" borderId="0" xfId="0" applyNumberFormat="1" applyFont="1"/>
    <xf numFmtId="0" fontId="7" fillId="3" borderId="0" xfId="0" applyFont="1" applyFill="1"/>
    <xf numFmtId="0" fontId="5" fillId="3" borderId="0" xfId="0" applyFont="1" applyFill="1"/>
    <xf numFmtId="170" fontId="5" fillId="6" borderId="0" xfId="0" applyNumberFormat="1" applyFont="1" applyFill="1"/>
    <xf numFmtId="170" fontId="9" fillId="0" borderId="0" xfId="1" applyNumberFormat="1" applyFont="1" applyFill="1"/>
    <xf numFmtId="167" fontId="5" fillId="0" borderId="0" xfId="0" applyNumberFormat="1" applyFont="1" applyBorder="1" applyAlignment="1">
      <alignment vertical="top"/>
    </xf>
    <xf numFmtId="173" fontId="5" fillId="0" borderId="0" xfId="2" applyNumberFormat="1" applyFont="1" applyFill="1"/>
    <xf numFmtId="0" fontId="4" fillId="0" borderId="0" xfId="0" applyFont="1" applyAlignment="1">
      <alignment horizontal="center"/>
    </xf>
    <xf numFmtId="171" fontId="5" fillId="5" borderId="0" xfId="3" applyNumberFormat="1" applyFont="1" applyFill="1" applyAlignment="1">
      <alignment horizontal="center"/>
    </xf>
    <xf numFmtId="0" fontId="5" fillId="0" borderId="0" xfId="0" applyFont="1" applyAlignment="1">
      <alignment wrapText="1"/>
    </xf>
    <xf numFmtId="10" fontId="5" fillId="0" borderId="0" xfId="3" applyNumberFormat="1" applyFont="1" applyBorder="1" applyAlignment="1">
      <alignment horizontal="right"/>
    </xf>
    <xf numFmtId="0" fontId="5" fillId="0" borderId="0" xfId="0" applyFont="1" applyAlignment="1"/>
    <xf numFmtId="170" fontId="5" fillId="0" borderId="0" xfId="0" applyNumberFormat="1" applyFont="1" applyAlignment="1"/>
    <xf numFmtId="170" fontId="5" fillId="0" borderId="0" xfId="1" applyNumberFormat="1" applyFont="1" applyAlignment="1"/>
    <xf numFmtId="167" fontId="5" fillId="0" borderId="0" xfId="0" applyNumberFormat="1" applyFont="1"/>
    <xf numFmtId="3" fontId="10" fillId="0" borderId="0" xfId="0" applyNumberFormat="1" applyFont="1" applyAlignment="1">
      <alignment vertical="top" wrapText="1"/>
    </xf>
    <xf numFmtId="168" fontId="3" fillId="0" borderId="0" xfId="0" applyNumberFormat="1" applyFont="1" applyFill="1" applyBorder="1" applyAlignment="1">
      <alignment horizontal="center" vertical="top"/>
    </xf>
    <xf numFmtId="170" fontId="4" fillId="0" borderId="0" xfId="1" applyNumberFormat="1" applyFont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178" fontId="5" fillId="0" borderId="0" xfId="3" applyNumberFormat="1" applyFont="1" applyFill="1"/>
    <xf numFmtId="167" fontId="5" fillId="0" borderId="0" xfId="1" applyFont="1" applyFill="1" applyBorder="1" applyAlignment="1">
      <alignment horizontal="right"/>
    </xf>
    <xf numFmtId="0" fontId="5" fillId="0" borderId="0" xfId="0" applyFont="1" applyAlignment="1">
      <alignment horizontal="left" indent="1"/>
    </xf>
    <xf numFmtId="173" fontId="5" fillId="0" borderId="0" xfId="2" applyNumberFormat="1" applyFont="1" applyFill="1" applyBorder="1"/>
    <xf numFmtId="0" fontId="3" fillId="0" borderId="0" xfId="0" applyFont="1" applyAlignment="1">
      <alignment horizontal="center"/>
    </xf>
    <xf numFmtId="0" fontId="4" fillId="0" borderId="0" xfId="0" applyFont="1"/>
    <xf numFmtId="165" fontId="5" fillId="0" borderId="0" xfId="0" applyNumberFormat="1" applyFont="1"/>
    <xf numFmtId="176" fontId="5" fillId="0" borderId="0" xfId="0" applyNumberFormat="1" applyFont="1"/>
    <xf numFmtId="38" fontId="5" fillId="0" borderId="0" xfId="0" applyNumberFormat="1" applyFont="1"/>
    <xf numFmtId="164" fontId="5" fillId="0" borderId="0" xfId="0" applyNumberFormat="1" applyFont="1"/>
    <xf numFmtId="177" fontId="5" fillId="0" borderId="0" xfId="0" applyNumberFormat="1" applyFont="1"/>
    <xf numFmtId="174" fontId="5" fillId="0" borderId="0" xfId="0" applyNumberFormat="1" applyFont="1"/>
    <xf numFmtId="166" fontId="5" fillId="7" borderId="0" xfId="2" applyFont="1" applyFill="1"/>
    <xf numFmtId="170" fontId="4" fillId="0" borderId="0" xfId="1" applyNumberFormat="1" applyFont="1" applyFill="1" applyBorder="1" applyAlignment="1">
      <alignment horizontal="right" vertical="top"/>
    </xf>
    <xf numFmtId="10" fontId="5" fillId="0" borderId="0" xfId="3" applyNumberFormat="1" applyFont="1" applyFill="1" applyBorder="1" applyAlignment="1">
      <alignment vertical="top"/>
    </xf>
    <xf numFmtId="170" fontId="5" fillId="0" borderId="0" xfId="0" applyNumberFormat="1" applyFont="1" applyFill="1" applyBorder="1" applyAlignment="1">
      <alignment vertical="top"/>
    </xf>
    <xf numFmtId="0" fontId="5" fillId="0" borderId="0" xfId="0" applyFont="1" applyBorder="1"/>
    <xf numFmtId="0" fontId="4" fillId="0" borderId="0" xfId="0" applyFont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wrapText="1" indent="1"/>
    </xf>
    <xf numFmtId="166" fontId="5" fillId="0" borderId="3" xfId="0" applyNumberFormat="1" applyFont="1" applyBorder="1" applyAlignment="1">
      <alignment horizontal="left"/>
    </xf>
    <xf numFmtId="170" fontId="5" fillId="0" borderId="3" xfId="0" applyNumberFormat="1" applyFont="1" applyBorder="1"/>
    <xf numFmtId="179" fontId="5" fillId="0" borderId="0" xfId="0" applyNumberFormat="1" applyFont="1"/>
    <xf numFmtId="0" fontId="11" fillId="8" borderId="0" xfId="0" applyFont="1" applyFill="1"/>
    <xf numFmtId="170" fontId="5" fillId="0" borderId="1" xfId="1" applyNumberFormat="1" applyFont="1" applyBorder="1"/>
    <xf numFmtId="10" fontId="5" fillId="0" borderId="1" xfId="3" applyNumberFormat="1" applyFont="1" applyBorder="1"/>
    <xf numFmtId="0" fontId="5" fillId="0" borderId="0" xfId="0" applyFont="1" applyFill="1" applyBorder="1"/>
    <xf numFmtId="170" fontId="5" fillId="0" borderId="0" xfId="1" applyNumberFormat="1" applyFont="1" applyAlignment="1">
      <alignment horizontal="right"/>
    </xf>
    <xf numFmtId="170" fontId="4" fillId="0" borderId="0" xfId="0" applyNumberFormat="1" applyFont="1" applyAlignment="1">
      <alignment horizontal="right"/>
    </xf>
    <xf numFmtId="0" fontId="3" fillId="0" borderId="0" xfId="0" applyFont="1" applyFill="1" applyBorder="1" applyAlignment="1">
      <alignment horizontal="right"/>
    </xf>
    <xf numFmtId="10" fontId="5" fillId="0" borderId="3" xfId="3" applyNumberFormat="1" applyFont="1" applyBorder="1"/>
    <xf numFmtId="166" fontId="5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170" fontId="5" fillId="0" borderId="1" xfId="0" applyNumberFormat="1" applyFont="1" applyBorder="1"/>
    <xf numFmtId="0" fontId="5" fillId="0" borderId="3" xfId="0" applyFont="1" applyBorder="1"/>
    <xf numFmtId="0" fontId="12" fillId="8" borderId="0" xfId="0" applyFont="1" applyFill="1" applyBorder="1" applyAlignment="1">
      <alignment vertical="top"/>
    </xf>
    <xf numFmtId="0" fontId="11" fillId="8" borderId="0" xfId="0" applyFont="1" applyFill="1" applyBorder="1" applyAlignment="1">
      <alignment horizontal="left" vertical="top"/>
    </xf>
    <xf numFmtId="170" fontId="5" fillId="0" borderId="0" xfId="1" applyNumberFormat="1" applyFont="1" applyBorder="1"/>
    <xf numFmtId="10" fontId="5" fillId="0" borderId="0" xfId="3" applyNumberFormat="1" applyFont="1" applyBorder="1"/>
    <xf numFmtId="0" fontId="13" fillId="0" borderId="0" xfId="0" applyFont="1" applyBorder="1" applyAlignment="1">
      <alignment horizontal="right" vertical="top"/>
    </xf>
    <xf numFmtId="3" fontId="13" fillId="0" borderId="0" xfId="0" applyNumberFormat="1" applyFont="1" applyBorder="1" applyAlignment="1">
      <alignment horizontal="center" vertical="top"/>
    </xf>
    <xf numFmtId="168" fontId="13" fillId="0" borderId="0" xfId="0" applyNumberFormat="1" applyFont="1" applyBorder="1" applyAlignment="1">
      <alignment vertical="top"/>
    </xf>
    <xf numFmtId="0" fontId="13" fillId="0" borderId="0" xfId="0" applyFont="1" applyBorder="1" applyAlignment="1">
      <alignment vertical="top"/>
    </xf>
    <xf numFmtId="168" fontId="13" fillId="0" borderId="0" xfId="0" applyNumberFormat="1" applyFont="1" applyBorder="1" applyAlignment="1">
      <alignment horizontal="left" vertical="top"/>
    </xf>
    <xf numFmtId="3" fontId="13" fillId="0" borderId="1" xfId="0" applyNumberFormat="1" applyFont="1" applyBorder="1" applyAlignment="1">
      <alignment horizontal="center" vertical="top"/>
    </xf>
    <xf numFmtId="0" fontId="5" fillId="7" borderId="0" xfId="0" applyFont="1" applyFill="1"/>
    <xf numFmtId="170" fontId="5" fillId="7" borderId="1" xfId="1" applyNumberFormat="1" applyFont="1" applyFill="1" applyBorder="1"/>
    <xf numFmtId="10" fontId="5" fillId="7" borderId="1" xfId="3" applyNumberFormat="1" applyFont="1" applyFill="1" applyBorder="1"/>
    <xf numFmtId="170" fontId="5" fillId="7" borderId="1" xfId="0" applyNumberFormat="1" applyFont="1" applyFill="1" applyBorder="1"/>
    <xf numFmtId="170" fontId="5" fillId="7" borderId="0" xfId="0" applyNumberFormat="1" applyFont="1" applyFill="1"/>
    <xf numFmtId="170" fontId="5" fillId="0" borderId="0" xfId="1" applyNumberFormat="1" applyFont="1" applyFill="1" applyAlignment="1">
      <alignment horizontal="right"/>
    </xf>
    <xf numFmtId="170" fontId="5" fillId="0" borderId="4" xfId="1" applyNumberFormat="1" applyFont="1" applyBorder="1" applyAlignment="1">
      <alignment horizontal="center" vertical="top"/>
    </xf>
    <xf numFmtId="10" fontId="5" fillId="0" borderId="4" xfId="3" applyNumberFormat="1" applyFont="1" applyBorder="1" applyAlignment="1">
      <alignment horizontal="right" vertical="top"/>
    </xf>
    <xf numFmtId="10" fontId="5" fillId="7" borderId="0" xfId="3" applyNumberFormat="1" applyFont="1" applyFill="1"/>
    <xf numFmtId="172" fontId="5" fillId="4" borderId="2" xfId="2" applyNumberFormat="1" applyFont="1" applyFill="1" applyBorder="1"/>
    <xf numFmtId="10" fontId="5" fillId="0" borderId="1" xfId="3" applyNumberFormat="1" applyFont="1" applyBorder="1" applyAlignment="1">
      <alignment horizontal="right"/>
    </xf>
    <xf numFmtId="166" fontId="5" fillId="0" borderId="1" xfId="2" applyFont="1" applyFill="1" applyBorder="1" applyAlignment="1">
      <alignment vertical="top"/>
    </xf>
    <xf numFmtId="170" fontId="5" fillId="0" borderId="1" xfId="1" applyNumberFormat="1" applyFont="1" applyFill="1" applyBorder="1" applyAlignment="1">
      <alignment horizontal="left" vertical="top" indent="2"/>
    </xf>
    <xf numFmtId="169" fontId="5" fillId="0" borderId="1" xfId="3" applyNumberFormat="1" applyFont="1" applyFill="1" applyBorder="1" applyAlignment="1">
      <alignment vertical="top"/>
    </xf>
    <xf numFmtId="10" fontId="5" fillId="0" borderId="1" xfId="3" applyNumberFormat="1" applyFont="1" applyFill="1" applyBorder="1" applyAlignment="1">
      <alignment horizontal="right" vertical="top"/>
    </xf>
    <xf numFmtId="0" fontId="5" fillId="9" borderId="0" xfId="0" applyFont="1" applyFill="1"/>
    <xf numFmtId="0" fontId="4" fillId="9" borderId="0" xfId="0" applyFont="1" applyFill="1" applyAlignment="1">
      <alignment horizontal="center"/>
    </xf>
    <xf numFmtId="0" fontId="3" fillId="9" borderId="0" xfId="0" applyFont="1" applyFill="1"/>
    <xf numFmtId="0" fontId="3" fillId="9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/>
    </xf>
    <xf numFmtId="170" fontId="5" fillId="0" borderId="0" xfId="1" applyNumberFormat="1" applyFont="1" applyFill="1" applyBorder="1"/>
    <xf numFmtId="170" fontId="4" fillId="0" borderId="0" xfId="0" applyNumberFormat="1" applyFont="1" applyFill="1" applyBorder="1"/>
    <xf numFmtId="0" fontId="11" fillId="0" borderId="0" xfId="0" applyFont="1" applyFill="1" applyBorder="1"/>
    <xf numFmtId="0" fontId="5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left" vertical="top"/>
    </xf>
    <xf numFmtId="170" fontId="5" fillId="0" borderId="0" xfId="1" applyNumberFormat="1" applyFont="1" applyBorder="1" applyAlignment="1">
      <alignment horizontal="center" vertical="top"/>
    </xf>
    <xf numFmtId="0" fontId="14" fillId="10" borderId="2" xfId="0" applyFont="1" applyFill="1" applyBorder="1" applyAlignment="1">
      <alignment horizontal="center"/>
    </xf>
    <xf numFmtId="166" fontId="5" fillId="0" borderId="0" xfId="2" applyFont="1" applyFill="1" applyBorder="1" applyAlignment="1">
      <alignment vertical="top"/>
    </xf>
    <xf numFmtId="170" fontId="5" fillId="0" borderId="0" xfId="1" applyNumberFormat="1" applyFont="1" applyFill="1" applyBorder="1" applyAlignment="1">
      <alignment horizontal="left" vertical="top" indent="2"/>
    </xf>
    <xf numFmtId="169" fontId="5" fillId="0" borderId="0" xfId="3" applyNumberFormat="1" applyFont="1" applyFill="1" applyBorder="1" applyAlignment="1">
      <alignment vertical="top"/>
    </xf>
    <xf numFmtId="10" fontId="5" fillId="0" borderId="0" xfId="3" applyNumberFormat="1" applyFont="1" applyFill="1" applyBorder="1" applyAlignment="1">
      <alignment horizontal="right" vertical="top"/>
    </xf>
    <xf numFmtId="180" fontId="5" fillId="11" borderId="2" xfId="0" applyNumberFormat="1" applyFont="1" applyFill="1" applyBorder="1"/>
    <xf numFmtId="9" fontId="5" fillId="0" borderId="0" xfId="3" applyFont="1"/>
    <xf numFmtId="172" fontId="5" fillId="0" borderId="0" xfId="0" applyNumberFormat="1" applyFont="1"/>
    <xf numFmtId="181" fontId="5" fillId="0" borderId="0" xfId="3" applyNumberFormat="1" applyFont="1"/>
    <xf numFmtId="0" fontId="5" fillId="0" borderId="0" xfId="0" applyFont="1" applyBorder="1" applyAlignment="1">
      <alignment wrapText="1"/>
    </xf>
    <xf numFmtId="166" fontId="5" fillId="0" borderId="4" xfId="2" applyFont="1" applyBorder="1" applyAlignment="1">
      <alignment horizontal="right" wrapText="1"/>
    </xf>
    <xf numFmtId="14" fontId="5" fillId="0" borderId="4" xfId="0" applyNumberFormat="1" applyFont="1" applyBorder="1"/>
    <xf numFmtId="0" fontId="5" fillId="0" borderId="4" xfId="0" applyFont="1" applyBorder="1"/>
    <xf numFmtId="166" fontId="5" fillId="0" borderId="4" xfId="0" applyNumberFormat="1" applyFont="1" applyBorder="1"/>
    <xf numFmtId="170" fontId="5" fillId="0" borderId="4" xfId="1" applyNumberFormat="1" applyFont="1" applyBorder="1"/>
    <xf numFmtId="166" fontId="4" fillId="0" borderId="0" xfId="2" applyFont="1"/>
    <xf numFmtId="0" fontId="15" fillId="0" borderId="0" xfId="0" applyFont="1" applyAlignment="1">
      <alignment horizontal="justify"/>
    </xf>
    <xf numFmtId="0" fontId="15" fillId="0" borderId="0" xfId="0" applyFont="1"/>
  </cellXfs>
  <cellStyles count="6">
    <cellStyle name="Comma" xfId="1" builtinId="3"/>
    <cellStyle name="Currency" xfId="2" builtinId="4"/>
    <cellStyle name="Followed Hyperlink" xfId="5" builtinId="9" hidden="1"/>
    <cellStyle name="Hyperlink" xfId="4" builtinId="8" hidden="1"/>
    <cellStyle name="Normal" xfId="0" builtinId="0"/>
    <cellStyle name="Percent" xfId="3" builtinId="5"/>
  </cellStyles>
  <dxfs count="0"/>
  <tableStyles count="0" defaultTableStyle="TableStyleMedium9" defaultPivotStyle="PivotStyleLight16"/>
  <colors>
    <mruColors>
      <color rgb="FFFF00FF"/>
    </mruColors>
  </colors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calcChain" Target="calcChain.xml"/><Relationship Id="rId1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44"/>
  <sheetViews>
    <sheetView topLeftCell="B1" zoomScale="110" zoomScaleNormal="110" zoomScalePageLayoutView="110" workbookViewId="0">
      <selection activeCell="I24" sqref="I24"/>
    </sheetView>
  </sheetViews>
  <sheetFormatPr baseColWidth="10" defaultColWidth="8.83203125" defaultRowHeight="12" customHeight="1" x14ac:dyDescent="0"/>
  <cols>
    <col min="1" max="1" width="38.1640625" style="13" customWidth="1"/>
    <col min="2" max="2" width="16" style="9" customWidth="1"/>
    <col min="3" max="3" width="15" style="10" customWidth="1"/>
    <col min="4" max="4" width="14.33203125" style="10" customWidth="1"/>
    <col min="5" max="5" width="14.1640625" style="11" customWidth="1"/>
    <col min="6" max="6" width="14.1640625" style="13" customWidth="1"/>
    <col min="7" max="7" width="14" style="13" customWidth="1"/>
    <col min="8" max="8" width="18.5" style="13" customWidth="1"/>
    <col min="9" max="9" width="25.83203125" style="13" customWidth="1"/>
    <col min="10" max="10" width="12.6640625" style="13" customWidth="1"/>
    <col min="11" max="11" width="14.83203125" style="13" customWidth="1"/>
    <col min="12" max="12" width="13.33203125" style="13" customWidth="1"/>
    <col min="13" max="13" width="19" style="13" customWidth="1"/>
    <col min="14" max="14" width="15.6640625" style="13" customWidth="1"/>
    <col min="15" max="15" width="8.83203125" style="13"/>
    <col min="16" max="16" width="15.33203125" style="13" bestFit="1" customWidth="1"/>
    <col min="17" max="16384" width="8.83203125" style="13"/>
  </cols>
  <sheetData>
    <row r="1" spans="1:16" s="4" customFormat="1" ht="12" customHeight="1">
      <c r="A1" s="132" t="s">
        <v>112</v>
      </c>
      <c r="B1" s="1"/>
      <c r="C1" s="2"/>
      <c r="D1" s="2"/>
      <c r="E1" s="3"/>
    </row>
    <row r="2" spans="1:16" ht="12" customHeight="1">
      <c r="A2" s="131"/>
      <c r="B2" s="13"/>
      <c r="C2" s="13"/>
      <c r="D2" s="13"/>
      <c r="E2" s="13"/>
    </row>
    <row r="3" spans="1:16" ht="12" customHeight="1" thickBot="1">
      <c r="A3" s="132" t="s">
        <v>29</v>
      </c>
      <c r="B3" s="5"/>
      <c r="C3" s="6"/>
      <c r="D3" s="2"/>
      <c r="E3" s="13"/>
      <c r="P3" s="79"/>
    </row>
    <row r="4" spans="1:16" ht="12" customHeight="1" thickBot="1">
      <c r="A4" s="18"/>
      <c r="B4" s="18"/>
      <c r="C4" s="18"/>
      <c r="D4" s="167" t="s">
        <v>83</v>
      </c>
      <c r="E4" s="167" t="s">
        <v>88</v>
      </c>
      <c r="F4" s="167" t="s">
        <v>84</v>
      </c>
      <c r="G4" s="167" t="s">
        <v>91</v>
      </c>
      <c r="H4" s="167" t="s">
        <v>109</v>
      </c>
      <c r="I4" s="167" t="s">
        <v>110</v>
      </c>
      <c r="J4" s="167" t="s">
        <v>111</v>
      </c>
      <c r="K4" s="18"/>
      <c r="L4" s="18"/>
      <c r="M4" s="18"/>
      <c r="N4" s="18"/>
    </row>
    <row r="5" spans="1:16" ht="12" customHeight="1" thickBot="1">
      <c r="A5" s="18" t="s">
        <v>26</v>
      </c>
      <c r="B5" s="150">
        <v>0.47671876400000002</v>
      </c>
      <c r="C5" s="18"/>
      <c r="D5" s="150">
        <v>0.17671875349999999</v>
      </c>
      <c r="E5" s="150">
        <v>0.226718753</v>
      </c>
      <c r="F5" s="150">
        <v>0.27671875200000001</v>
      </c>
      <c r="G5" s="150">
        <v>0.32671875500000003</v>
      </c>
      <c r="H5" s="150">
        <v>0.37671875100000002</v>
      </c>
      <c r="I5" s="150">
        <v>0.42671873799999999</v>
      </c>
      <c r="J5" s="150">
        <v>0.47671876400000002</v>
      </c>
      <c r="K5" s="18"/>
      <c r="L5" s="18"/>
      <c r="M5" s="18"/>
      <c r="N5" s="18"/>
      <c r="P5" s="79"/>
    </row>
    <row r="6" spans="1:16" ht="12" customHeight="1">
      <c r="A6" s="20" t="s">
        <v>38</v>
      </c>
      <c r="B6" s="52">
        <f>B33</f>
        <v>3000000.2399999998</v>
      </c>
      <c r="C6" s="21"/>
      <c r="D6" s="49"/>
      <c r="E6" s="97"/>
      <c r="F6" s="23"/>
      <c r="G6" s="23"/>
      <c r="H6" s="23"/>
      <c r="I6" s="18"/>
      <c r="J6" s="18"/>
      <c r="K6" s="20"/>
      <c r="L6" s="20"/>
      <c r="M6" s="20"/>
      <c r="N6" s="20"/>
    </row>
    <row r="7" spans="1:16" ht="12" customHeight="1">
      <c r="A7" s="20" t="s">
        <v>8</v>
      </c>
      <c r="B7" s="106">
        <f>ROUND((B5*(I18+B28)),2)</f>
        <v>6000000</v>
      </c>
      <c r="C7" s="24"/>
      <c r="D7" s="25"/>
      <c r="E7" s="21"/>
      <c r="F7" s="23"/>
      <c r="G7" s="23"/>
      <c r="H7" s="23"/>
      <c r="I7" s="23"/>
      <c r="J7" s="22"/>
      <c r="K7" s="20"/>
      <c r="L7" s="20"/>
      <c r="M7" s="20"/>
      <c r="N7" s="20"/>
    </row>
    <row r="8" spans="1:16" ht="12" customHeight="1">
      <c r="A8" s="20" t="s">
        <v>9</v>
      </c>
      <c r="B8" s="21">
        <f>ROUND((B5*I28),2)</f>
        <v>10931249.93</v>
      </c>
      <c r="C8" s="22"/>
      <c r="D8" s="25"/>
      <c r="E8" s="80"/>
      <c r="F8" s="23"/>
      <c r="G8" s="23"/>
      <c r="H8" s="23"/>
      <c r="I8" s="23"/>
      <c r="J8" s="22"/>
      <c r="K8" s="20"/>
      <c r="L8" s="20"/>
      <c r="M8" s="20"/>
      <c r="N8" s="20"/>
    </row>
    <row r="9" spans="1:16" ht="12" customHeight="1">
      <c r="A9" s="20" t="s">
        <v>28</v>
      </c>
      <c r="B9" s="82">
        <v>0.2</v>
      </c>
      <c r="C9" s="28"/>
      <c r="D9" s="27"/>
      <c r="E9" s="23"/>
      <c r="F9" s="23"/>
      <c r="G9" s="23"/>
      <c r="H9" s="23"/>
      <c r="I9" s="23"/>
      <c r="J9" s="22"/>
      <c r="K9" s="20"/>
      <c r="L9" s="20"/>
      <c r="M9" s="20"/>
      <c r="N9" s="20"/>
    </row>
    <row r="10" spans="1:16" ht="12" customHeight="1">
      <c r="A10" s="20"/>
      <c r="B10" s="53"/>
      <c r="C10" s="28"/>
      <c r="G10" s="23"/>
      <c r="H10" s="23"/>
      <c r="I10" s="23"/>
      <c r="J10" s="22"/>
      <c r="K10" s="20"/>
      <c r="L10" s="20"/>
      <c r="M10" s="20"/>
      <c r="N10" s="20"/>
    </row>
    <row r="11" spans="1:16" ht="12" customHeight="1">
      <c r="A11" s="17"/>
      <c r="B11" s="50"/>
      <c r="C11" s="51"/>
      <c r="D11" s="27"/>
      <c r="E11" s="23"/>
      <c r="F11" s="23"/>
      <c r="G11" s="23"/>
      <c r="H11" s="23"/>
      <c r="I11" s="23"/>
      <c r="J11" s="22"/>
      <c r="K11" s="20"/>
      <c r="L11" s="20"/>
      <c r="M11" s="20"/>
      <c r="N11" s="20"/>
    </row>
    <row r="12" spans="1:16">
      <c r="A12" s="20"/>
      <c r="B12" s="29" t="s">
        <v>45</v>
      </c>
      <c r="C12" s="22"/>
      <c r="D12" s="25"/>
      <c r="E12" s="23"/>
      <c r="F12" s="23"/>
      <c r="G12" s="23"/>
      <c r="H12" s="23"/>
      <c r="I12" s="23"/>
      <c r="J12" s="22"/>
      <c r="K12" s="20"/>
      <c r="L12" s="20"/>
      <c r="M12" s="20"/>
      <c r="N12" s="20"/>
    </row>
    <row r="13" spans="1:16" ht="24">
      <c r="A13" s="30"/>
      <c r="B13" s="31" t="s">
        <v>10</v>
      </c>
      <c r="C13" s="31" t="s">
        <v>11</v>
      </c>
      <c r="D13" s="32" t="s">
        <v>12</v>
      </c>
      <c r="E13" s="33" t="s">
        <v>13</v>
      </c>
      <c r="F13" s="33" t="s">
        <v>14</v>
      </c>
      <c r="G13" s="33" t="s">
        <v>15</v>
      </c>
      <c r="H13" s="33" t="s">
        <v>16</v>
      </c>
      <c r="I13" s="33" t="s">
        <v>17</v>
      </c>
      <c r="J13" s="31" t="s">
        <v>18</v>
      </c>
      <c r="K13" s="30" t="s">
        <v>19</v>
      </c>
      <c r="L13" s="30" t="s">
        <v>20</v>
      </c>
      <c r="M13" s="34"/>
      <c r="N13" s="34"/>
    </row>
    <row r="14" spans="1:16">
      <c r="A14" s="20" t="s">
        <v>7</v>
      </c>
      <c r="B14" s="25"/>
      <c r="C14" s="25"/>
      <c r="D14" s="25">
        <v>1</v>
      </c>
      <c r="E14" s="26">
        <f>'Common Stock'!B30</f>
        <v>7000000</v>
      </c>
      <c r="F14" s="26">
        <f>'2015 Option Plan'!B4</f>
        <v>0</v>
      </c>
      <c r="G14" s="26">
        <v>0</v>
      </c>
      <c r="H14" s="26">
        <f>E14+F14+G14</f>
        <v>7000000</v>
      </c>
      <c r="I14" s="26">
        <f>ROUND((H14*D14),0)</f>
        <v>7000000</v>
      </c>
      <c r="J14" s="35">
        <f>I14/I16</f>
        <v>0.875</v>
      </c>
      <c r="K14" s="55">
        <f>'2015 Option Plan'!B8</f>
        <v>2000000</v>
      </c>
      <c r="L14" s="35">
        <f>I14/($I$18)</f>
        <v>0.7</v>
      </c>
      <c r="M14" s="36"/>
      <c r="N14" s="20"/>
    </row>
    <row r="15" spans="1:16" ht="15">
      <c r="A15" s="20" t="s">
        <v>74</v>
      </c>
      <c r="B15" s="25">
        <v>0.01</v>
      </c>
      <c r="C15" s="25">
        <v>0.01</v>
      </c>
      <c r="D15" s="25">
        <f>B15/C15</f>
        <v>1</v>
      </c>
      <c r="E15" s="37">
        <f>'FF Preferred'!B12</f>
        <v>1000000</v>
      </c>
      <c r="F15" s="37">
        <v>0</v>
      </c>
      <c r="G15" s="37">
        <v>0</v>
      </c>
      <c r="H15" s="78">
        <f>E15+F15+G15</f>
        <v>1000000</v>
      </c>
      <c r="I15" s="78">
        <f>ROUND((H15*D15),0)</f>
        <v>1000000</v>
      </c>
      <c r="J15" s="38">
        <f>I15/I16</f>
        <v>0.125</v>
      </c>
      <c r="K15" s="77"/>
      <c r="L15" s="35">
        <f>I15/($I$18)</f>
        <v>0.1</v>
      </c>
      <c r="M15" s="36"/>
      <c r="N15" s="20"/>
    </row>
    <row r="16" spans="1:16" ht="12" customHeight="1">
      <c r="A16" s="39" t="s">
        <v>4</v>
      </c>
      <c r="B16" s="25"/>
      <c r="C16" s="25"/>
      <c r="D16" s="25"/>
      <c r="E16" s="40">
        <f>SUM(E14:E15)</f>
        <v>8000000</v>
      </c>
      <c r="F16" s="40">
        <f>SUM(F14:F14)</f>
        <v>0</v>
      </c>
      <c r="G16" s="40">
        <f>SUM(G14:G14)</f>
        <v>0</v>
      </c>
      <c r="H16" s="40">
        <f>SUM(H14:H15)</f>
        <v>8000000</v>
      </c>
      <c r="I16" s="40">
        <f>SUM(I14:I15)</f>
        <v>8000000</v>
      </c>
      <c r="J16" s="35">
        <f>SUM(J14:J15)</f>
        <v>1</v>
      </c>
      <c r="K16" s="20"/>
      <c r="L16" s="56">
        <f>K14/($I$18)</f>
        <v>0.2</v>
      </c>
      <c r="M16" s="20" t="s">
        <v>19</v>
      </c>
      <c r="N16" s="20"/>
    </row>
    <row r="17" spans="1:14" ht="12" customHeight="1">
      <c r="A17" s="39"/>
      <c r="B17" s="25"/>
      <c r="C17" s="25"/>
      <c r="D17" s="25"/>
      <c r="E17" s="26"/>
      <c r="F17" s="26"/>
      <c r="G17" s="26"/>
      <c r="H17" s="26"/>
      <c r="I17" s="26"/>
      <c r="J17" s="35"/>
      <c r="K17" s="20"/>
      <c r="L17" s="42">
        <f>SUM(L14:L16)</f>
        <v>1</v>
      </c>
      <c r="M17" s="20"/>
      <c r="N17" s="20"/>
    </row>
    <row r="18" spans="1:14" ht="12" customHeight="1">
      <c r="A18" s="41"/>
      <c r="B18" s="22"/>
      <c r="C18" s="22"/>
      <c r="D18" s="25"/>
      <c r="E18" s="23"/>
      <c r="F18" s="23"/>
      <c r="G18" s="23"/>
      <c r="H18" s="23"/>
      <c r="I18" s="57">
        <f>I16+K14</f>
        <v>10000000</v>
      </c>
      <c r="J18" s="29" t="s">
        <v>21</v>
      </c>
      <c r="K18" s="20"/>
      <c r="M18" s="20"/>
      <c r="N18" s="20"/>
    </row>
    <row r="19" spans="1:14" ht="12" customHeight="1">
      <c r="A19" s="20"/>
      <c r="B19" s="22"/>
      <c r="C19" s="22"/>
      <c r="D19" s="25"/>
      <c r="E19" s="23"/>
      <c r="F19" s="23"/>
      <c r="G19" s="23"/>
      <c r="H19" s="23"/>
      <c r="I19" s="18"/>
      <c r="J19" s="18"/>
      <c r="K19" s="20"/>
      <c r="L19" s="20"/>
      <c r="M19" s="20"/>
      <c r="N19" s="20"/>
    </row>
    <row r="20" spans="1:14" ht="12" customHeight="1">
      <c r="A20" s="20"/>
      <c r="B20" s="18"/>
      <c r="C20" s="22"/>
      <c r="D20" s="25"/>
      <c r="E20" s="23"/>
      <c r="F20" s="23"/>
      <c r="G20" s="23"/>
      <c r="H20" s="23"/>
      <c r="I20" s="23"/>
      <c r="J20" s="22"/>
      <c r="K20" s="20"/>
      <c r="L20" s="20"/>
      <c r="M20" s="20"/>
      <c r="N20" s="20"/>
    </row>
    <row r="21" spans="1:14">
      <c r="A21" s="20"/>
      <c r="B21" s="29" t="s">
        <v>46</v>
      </c>
      <c r="C21" s="22"/>
      <c r="D21" s="25"/>
      <c r="E21" s="23"/>
      <c r="F21" s="23"/>
      <c r="G21" s="23"/>
      <c r="H21" s="23"/>
      <c r="I21" s="23"/>
      <c r="J21" s="22"/>
      <c r="K21" s="20"/>
      <c r="L21" s="20"/>
      <c r="M21" s="20"/>
      <c r="N21" s="43"/>
    </row>
    <row r="22" spans="1:14" ht="24">
      <c r="A22" s="30"/>
      <c r="B22" s="31" t="s">
        <v>22</v>
      </c>
      <c r="C22" s="31" t="s">
        <v>23</v>
      </c>
      <c r="D22" s="32" t="s">
        <v>24</v>
      </c>
      <c r="E22" s="33" t="s">
        <v>13</v>
      </c>
      <c r="F22" s="33" t="s">
        <v>14</v>
      </c>
      <c r="G22" s="33" t="s">
        <v>15</v>
      </c>
      <c r="H22" s="33" t="s">
        <v>16</v>
      </c>
      <c r="I22" s="33" t="s">
        <v>17</v>
      </c>
      <c r="J22" s="31" t="s">
        <v>18</v>
      </c>
      <c r="K22" s="30" t="s">
        <v>19</v>
      </c>
      <c r="L22" s="30" t="s">
        <v>20</v>
      </c>
      <c r="M22" s="44"/>
    </row>
    <row r="23" spans="1:14" ht="12" customHeight="1">
      <c r="A23" s="20" t="s">
        <v>7</v>
      </c>
      <c r="B23" s="22"/>
      <c r="C23" s="22"/>
      <c r="D23" s="25">
        <v>1</v>
      </c>
      <c r="E23" s="26">
        <f>E14</f>
        <v>7000000</v>
      </c>
      <c r="F23" s="26">
        <f>F14</f>
        <v>0</v>
      </c>
      <c r="G23" s="26">
        <f>G14</f>
        <v>0</v>
      </c>
      <c r="H23" s="26">
        <f>SUM(E23:G23)</f>
        <v>7000000</v>
      </c>
      <c r="I23" s="26">
        <f>ROUND((H23*D23),0)</f>
        <v>7000000</v>
      </c>
      <c r="J23" s="35">
        <f>I23/$I$26</f>
        <v>0.38159306272534094</v>
      </c>
      <c r="K23" s="55">
        <f>K14+B28</f>
        <v>4586037</v>
      </c>
      <c r="L23" s="35">
        <f>I23/$I$28</f>
        <v>0.30527445350857596</v>
      </c>
      <c r="M23" s="26"/>
    </row>
    <row r="24" spans="1:14" ht="12" customHeight="1">
      <c r="A24" s="20" t="s">
        <v>74</v>
      </c>
      <c r="B24" s="27">
        <f>C15</f>
        <v>0.01</v>
      </c>
      <c r="C24" s="45">
        <f>B24</f>
        <v>0.01</v>
      </c>
      <c r="D24" s="25">
        <f>B24/C24</f>
        <v>1</v>
      </c>
      <c r="E24" s="26">
        <f>E15</f>
        <v>1000000</v>
      </c>
      <c r="F24" s="26">
        <v>0</v>
      </c>
      <c r="G24" s="26">
        <f>G15</f>
        <v>0</v>
      </c>
      <c r="H24" s="26">
        <f>SUM(E24:G24)</f>
        <v>1000000</v>
      </c>
      <c r="I24" s="26">
        <f>ROUND((H24*D24),0)</f>
        <v>1000000</v>
      </c>
      <c r="J24" s="35">
        <f>I24/$I$26</f>
        <v>5.4513294675048701E-2</v>
      </c>
      <c r="K24" s="20"/>
      <c r="L24" s="35">
        <f>I24/$I$28</f>
        <v>4.3610636215510853E-2</v>
      </c>
      <c r="M24" s="26"/>
    </row>
    <row r="25" spans="1:14" ht="12" customHeight="1">
      <c r="A25" s="20" t="s">
        <v>89</v>
      </c>
      <c r="B25" s="27">
        <f>B5</f>
        <v>0.47671876400000002</v>
      </c>
      <c r="C25" s="45">
        <f>B5</f>
        <v>0.47671876400000002</v>
      </c>
      <c r="D25" s="25">
        <f>B25/C25</f>
        <v>1</v>
      </c>
      <c r="E25" s="37">
        <f>C33</f>
        <v>10344149</v>
      </c>
      <c r="F25" s="37">
        <v>0</v>
      </c>
      <c r="G25" s="37">
        <v>0</v>
      </c>
      <c r="H25" s="37">
        <f>SUM(E25:G25)</f>
        <v>10344149</v>
      </c>
      <c r="I25" s="37">
        <f>ROUND((H25*D25),0)</f>
        <v>10344149</v>
      </c>
      <c r="J25" s="38">
        <f>I25/$I$26</f>
        <v>0.56389364259961039</v>
      </c>
      <c r="K25" s="20"/>
      <c r="L25" s="35">
        <f>I25/$I$28</f>
        <v>0.4511149189980404</v>
      </c>
      <c r="M25" s="26"/>
    </row>
    <row r="26" spans="1:14" ht="12" customHeight="1">
      <c r="A26" s="41" t="s">
        <v>4</v>
      </c>
      <c r="B26" s="22"/>
      <c r="C26" s="22"/>
      <c r="D26" s="25"/>
      <c r="E26" s="40">
        <f t="shared" ref="E26:J26" si="0">SUM(E23:E25)</f>
        <v>18344149</v>
      </c>
      <c r="F26" s="40">
        <f t="shared" si="0"/>
        <v>0</v>
      </c>
      <c r="G26" s="40">
        <f t="shared" si="0"/>
        <v>0</v>
      </c>
      <c r="H26" s="40">
        <f t="shared" si="0"/>
        <v>18344149</v>
      </c>
      <c r="I26" s="40">
        <f t="shared" si="0"/>
        <v>18344149</v>
      </c>
      <c r="J26" s="46">
        <f t="shared" si="0"/>
        <v>1</v>
      </c>
      <c r="K26" s="20"/>
      <c r="L26" s="56">
        <f>K23/I28</f>
        <v>0.19999999127787277</v>
      </c>
      <c r="M26" s="20" t="s">
        <v>19</v>
      </c>
    </row>
    <row r="27" spans="1:14" ht="12" customHeight="1">
      <c r="A27" s="41"/>
      <c r="B27" s="22"/>
      <c r="C27" s="22"/>
      <c r="D27" s="25"/>
      <c r="E27" s="40"/>
      <c r="F27" s="40"/>
      <c r="G27" s="40"/>
      <c r="H27" s="40"/>
      <c r="I27" s="40"/>
      <c r="J27" s="46"/>
      <c r="K27" s="20"/>
      <c r="L27" s="94">
        <f>SUM(L23:L26)</f>
        <v>1</v>
      </c>
      <c r="M27" s="20"/>
    </row>
    <row r="28" spans="1:14" ht="12" customHeight="1">
      <c r="A28" s="41" t="s">
        <v>27</v>
      </c>
      <c r="B28" s="54">
        <f>IF(B9="n/a", 0, ROUND(((($I$26)*($B$9/(1-$B$9)))),0)-K14)</f>
        <v>2586037</v>
      </c>
      <c r="C28" s="95"/>
      <c r="D28" s="25"/>
      <c r="E28" s="23"/>
      <c r="F28" s="23"/>
      <c r="G28" s="23"/>
      <c r="H28" s="21"/>
      <c r="I28" s="57">
        <f>I26+K23</f>
        <v>22930186</v>
      </c>
      <c r="J28" s="29" t="s">
        <v>21</v>
      </c>
      <c r="K28" s="20"/>
      <c r="L28" s="42"/>
      <c r="M28" s="20"/>
      <c r="N28" s="20" t="s">
        <v>25</v>
      </c>
    </row>
    <row r="29" spans="1:14" ht="12" customHeight="1">
      <c r="A29" s="19"/>
      <c r="B29" s="47"/>
      <c r="C29" s="48"/>
    </row>
    <row r="30" spans="1:14" ht="12" customHeight="1">
      <c r="A30" s="63" t="s">
        <v>90</v>
      </c>
      <c r="B30" s="64" t="s">
        <v>35</v>
      </c>
      <c r="C30" s="64" t="s">
        <v>40</v>
      </c>
      <c r="D30" s="64" t="s">
        <v>36</v>
      </c>
      <c r="E30" s="65" t="s">
        <v>37</v>
      </c>
    </row>
    <row r="31" spans="1:14" s="19" customFormat="1" ht="12" customHeight="1">
      <c r="A31" s="19" t="s">
        <v>73</v>
      </c>
      <c r="B31" s="168">
        <f>ROUNDUP((C31*$B$5),2)</f>
        <v>3000000.2399999998</v>
      </c>
      <c r="C31" s="169">
        <f>'Series A Preferred'!D3</f>
        <v>6293019</v>
      </c>
      <c r="D31" s="170">
        <f>C31/$C$33</f>
        <v>0.60836507672114937</v>
      </c>
      <c r="E31" s="171">
        <f>C31/$I$28</f>
        <v>0.27444256230629793</v>
      </c>
      <c r="H31" s="109"/>
      <c r="I31" s="108"/>
    </row>
    <row r="32" spans="1:14" s="19" customFormat="1" ht="12" customHeight="1">
      <c r="A32" s="19" t="s">
        <v>94</v>
      </c>
      <c r="B32" s="152"/>
      <c r="C32" s="153">
        <f>'Convertible Notes'!G10</f>
        <v>4051130</v>
      </c>
      <c r="D32" s="154">
        <f>C32/$C$33</f>
        <v>0.39163492327885069</v>
      </c>
      <c r="E32" s="155">
        <f>C32/$I$28</f>
        <v>0.1766723566917425</v>
      </c>
      <c r="H32" s="109"/>
      <c r="I32" s="108"/>
    </row>
    <row r="33" spans="1:5" ht="12" customHeight="1">
      <c r="B33" s="66">
        <f>SUM(B31:B31)</f>
        <v>3000000.2399999998</v>
      </c>
      <c r="C33" s="67">
        <f>SUM(C31:C32)</f>
        <v>10344149</v>
      </c>
      <c r="D33" s="68">
        <f>SUM(D31:D32)</f>
        <v>1</v>
      </c>
      <c r="E33" s="12">
        <f>SUM(E31:E32)</f>
        <v>0.45111491899804046</v>
      </c>
    </row>
    <row r="34" spans="1:5" ht="12" customHeight="1">
      <c r="B34" s="13"/>
      <c r="C34" s="13"/>
      <c r="D34" s="13"/>
    </row>
    <row r="35" spans="1:5">
      <c r="B35" s="13"/>
      <c r="C35" s="13"/>
      <c r="D35" s="13"/>
    </row>
    <row r="38" spans="1:5" ht="12" customHeight="1">
      <c r="A38" s="135" t="s">
        <v>62</v>
      </c>
      <c r="B38" s="136">
        <f>'FF Preferred'!B12</f>
        <v>1000000</v>
      </c>
      <c r="C38" s="137" t="s">
        <v>75</v>
      </c>
    </row>
    <row r="39" spans="1:5" ht="12" customHeight="1">
      <c r="A39" s="138"/>
      <c r="B39" s="136">
        <f>B38</f>
        <v>1000000</v>
      </c>
      <c r="C39" s="139" t="s">
        <v>64</v>
      </c>
    </row>
    <row r="40" spans="1:5" ht="12" customHeight="1">
      <c r="A40" s="138"/>
      <c r="B40" s="136">
        <f>H14</f>
        <v>7000000</v>
      </c>
      <c r="C40" s="137" t="s">
        <v>63</v>
      </c>
      <c r="E40" s="107"/>
    </row>
    <row r="41" spans="1:5" ht="12" customHeight="1">
      <c r="A41" s="138"/>
      <c r="B41" s="140">
        <f>K14</f>
        <v>2000000</v>
      </c>
      <c r="C41" s="137" t="s">
        <v>69</v>
      </c>
    </row>
    <row r="42" spans="1:5" ht="12" customHeight="1">
      <c r="A42" s="138"/>
      <c r="B42" s="136">
        <f>SUM(B38:B41)</f>
        <v>11000000</v>
      </c>
      <c r="C42" s="137" t="s">
        <v>65</v>
      </c>
    </row>
    <row r="43" spans="1:5" ht="12" customHeight="1">
      <c r="A43" s="138"/>
      <c r="B43" s="136">
        <f>B39+B40+B41</f>
        <v>10000000</v>
      </c>
      <c r="C43" s="137" t="s">
        <v>66</v>
      </c>
    </row>
    <row r="44" spans="1:5" ht="12" customHeight="1">
      <c r="A44" s="138"/>
      <c r="B44" s="136">
        <f>B38</f>
        <v>1000000</v>
      </c>
      <c r="C44" s="139" t="s">
        <v>67</v>
      </c>
    </row>
  </sheetData>
  <phoneticPr fontId="2" type="noConversion"/>
  <pageMargins left="0.18" right="0.24" top="0.39" bottom="0.36" header="0.3" footer="0.24"/>
  <pageSetup paperSize="5" scale="79" orientation="landscape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28"/>
  <sheetViews>
    <sheetView topLeftCell="A2" zoomScale="110" zoomScaleNormal="110" zoomScalePageLayoutView="110" workbookViewId="0">
      <selection activeCell="A19" sqref="A19"/>
    </sheetView>
  </sheetViews>
  <sheetFormatPr baseColWidth="10" defaultColWidth="8.83203125" defaultRowHeight="12" x14ac:dyDescent="0"/>
  <cols>
    <col min="1" max="1" width="28.83203125" style="18" customWidth="1"/>
    <col min="2" max="3" width="9.1640625" style="18" customWidth="1"/>
    <col min="4" max="5" width="12" style="18" customWidth="1"/>
    <col min="6" max="6" width="2.6640625" style="18" customWidth="1"/>
    <col min="7" max="7" width="15.33203125" style="18" customWidth="1"/>
    <col min="8" max="8" width="20.5" style="18" customWidth="1"/>
    <col min="9" max="9" width="2.6640625" style="18" customWidth="1"/>
    <col min="10" max="10" width="12" style="18" customWidth="1"/>
    <col min="11" max="11" width="16.6640625" style="18" customWidth="1"/>
    <col min="12" max="12" width="20.83203125" style="18" customWidth="1"/>
    <col min="13" max="16384" width="8.83203125" style="18"/>
  </cols>
  <sheetData>
    <row r="1" spans="1:12">
      <c r="A1" s="119" t="s">
        <v>55</v>
      </c>
    </row>
    <row r="2" spans="1:12">
      <c r="A2" s="156"/>
      <c r="B2" s="157" t="s">
        <v>81</v>
      </c>
      <c r="C2" s="156"/>
      <c r="D2" s="157" t="s">
        <v>80</v>
      </c>
      <c r="E2" s="157" t="s">
        <v>79</v>
      </c>
      <c r="F2" s="156"/>
      <c r="G2" s="157" t="s">
        <v>54</v>
      </c>
      <c r="H2" s="157" t="s">
        <v>59</v>
      </c>
      <c r="I2" s="156"/>
      <c r="J2" s="157" t="s">
        <v>85</v>
      </c>
      <c r="K2" s="157" t="s">
        <v>3</v>
      </c>
      <c r="L2" s="157" t="s">
        <v>3</v>
      </c>
    </row>
    <row r="3" spans="1:12">
      <c r="A3" s="158"/>
      <c r="B3" s="159" t="s">
        <v>68</v>
      </c>
      <c r="C3" s="160"/>
      <c r="D3" s="159" t="s">
        <v>68</v>
      </c>
      <c r="E3" s="159" t="s">
        <v>78</v>
      </c>
      <c r="F3" s="156"/>
      <c r="G3" s="160" t="s">
        <v>56</v>
      </c>
      <c r="H3" s="160" t="s">
        <v>57</v>
      </c>
      <c r="I3" s="156"/>
      <c r="J3" s="160" t="s">
        <v>82</v>
      </c>
      <c r="K3" s="160" t="s">
        <v>56</v>
      </c>
      <c r="L3" s="160" t="s">
        <v>57</v>
      </c>
    </row>
    <row r="4" spans="1:12">
      <c r="B4" s="58">
        <f>'Common Stock'!B6</f>
        <v>1590000</v>
      </c>
      <c r="C4" s="60">
        <f>B4/$B$14</f>
        <v>0.17666666666666667</v>
      </c>
      <c r="D4" s="58">
        <f>'FF Preferred'!B11</f>
        <v>250000</v>
      </c>
      <c r="E4" s="58"/>
      <c r="G4" s="61">
        <f>SUM(B4+D4+E4)</f>
        <v>1840000</v>
      </c>
      <c r="H4" s="60">
        <f>G4/$G$14</f>
        <v>0.184</v>
      </c>
      <c r="J4" s="141"/>
      <c r="K4" s="145">
        <f>G4</f>
        <v>1840000</v>
      </c>
      <c r="L4" s="149">
        <f>K4/$K$14</f>
        <v>9.7462500243656255E-2</v>
      </c>
    </row>
    <row r="5" spans="1:12">
      <c r="B5" s="58">
        <f>'Common Stock'!B7</f>
        <v>1590000</v>
      </c>
      <c r="C5" s="60">
        <f t="shared" ref="C5:C12" si="0">B5/$B$14</f>
        <v>0.17666666666666667</v>
      </c>
      <c r="D5" s="58">
        <f>'FF Preferred'!B9</f>
        <v>250000</v>
      </c>
      <c r="E5" s="58"/>
      <c r="G5" s="61">
        <f t="shared" ref="G5:G10" si="1">SUM(B5+D5+E5)</f>
        <v>1840000</v>
      </c>
      <c r="H5" s="60">
        <f t="shared" ref="H5:H12" si="2">G5/$G$14</f>
        <v>0.184</v>
      </c>
      <c r="J5" s="141"/>
      <c r="K5" s="145">
        <f t="shared" ref="K5:K10" si="3">G5</f>
        <v>1840000</v>
      </c>
      <c r="L5" s="149">
        <f t="shared" ref="L5:L13" si="4">K5/$K$14</f>
        <v>9.7462500243656255E-2</v>
      </c>
    </row>
    <row r="6" spans="1:12">
      <c r="B6" s="58">
        <f>'Common Stock'!B8</f>
        <v>1590000</v>
      </c>
      <c r="C6" s="60">
        <f t="shared" si="0"/>
        <v>0.17666666666666667</v>
      </c>
      <c r="D6" s="58">
        <f>'FF Preferred'!B10</f>
        <v>250000</v>
      </c>
      <c r="E6" s="58"/>
      <c r="G6" s="61">
        <f t="shared" si="1"/>
        <v>1840000</v>
      </c>
      <c r="H6" s="60">
        <f t="shared" si="2"/>
        <v>0.184</v>
      </c>
      <c r="J6" s="141"/>
      <c r="K6" s="145">
        <f t="shared" si="3"/>
        <v>1840000</v>
      </c>
      <c r="L6" s="149">
        <f t="shared" si="4"/>
        <v>9.7462500243656255E-2</v>
      </c>
    </row>
    <row r="7" spans="1:12">
      <c r="B7" s="58">
        <f>'Common Stock'!B9</f>
        <v>1590000</v>
      </c>
      <c r="C7" s="60">
        <f t="shared" si="0"/>
        <v>0.17666666666666667</v>
      </c>
      <c r="D7" s="58">
        <f>'FF Preferred'!B11</f>
        <v>250000</v>
      </c>
      <c r="E7" s="58"/>
      <c r="G7" s="61">
        <f t="shared" si="1"/>
        <v>1840000</v>
      </c>
      <c r="H7" s="60">
        <f t="shared" si="2"/>
        <v>0.184</v>
      </c>
      <c r="J7" s="141"/>
      <c r="K7" s="145">
        <f t="shared" si="3"/>
        <v>1840000</v>
      </c>
      <c r="L7" s="149">
        <f t="shared" si="4"/>
        <v>9.7462500243656255E-2</v>
      </c>
    </row>
    <row r="8" spans="1:12">
      <c r="B8" s="58">
        <f>'Common Stock'!B10</f>
        <v>40000</v>
      </c>
      <c r="C8" s="60">
        <f t="shared" si="0"/>
        <v>4.4444444444444444E-3</v>
      </c>
      <c r="D8" s="58"/>
      <c r="E8" s="58"/>
      <c r="G8" s="61">
        <f t="shared" si="1"/>
        <v>40000</v>
      </c>
      <c r="H8" s="60">
        <f t="shared" si="2"/>
        <v>4.0000000000000001E-3</v>
      </c>
      <c r="J8" s="141"/>
      <c r="K8" s="145">
        <f t="shared" si="3"/>
        <v>40000</v>
      </c>
      <c r="L8" s="149">
        <f t="shared" si="4"/>
        <v>2.1187500052968749E-3</v>
      </c>
    </row>
    <row r="9" spans="1:12">
      <c r="B9" s="58">
        <f>'Common Stock'!B11</f>
        <v>200000</v>
      </c>
      <c r="C9" s="60">
        <f t="shared" si="0"/>
        <v>2.2222222222222223E-2</v>
      </c>
      <c r="D9" s="58"/>
      <c r="E9" s="58"/>
      <c r="G9" s="61">
        <f t="shared" si="1"/>
        <v>200000</v>
      </c>
      <c r="H9" s="60">
        <f t="shared" si="2"/>
        <v>0.02</v>
      </c>
      <c r="J9" s="141"/>
      <c r="K9" s="145">
        <f t="shared" si="3"/>
        <v>200000</v>
      </c>
      <c r="L9" s="149">
        <f t="shared" si="4"/>
        <v>1.0593750026484374E-2</v>
      </c>
    </row>
    <row r="10" spans="1:12">
      <c r="B10" s="58">
        <f>'Common Stock'!B12</f>
        <v>200000</v>
      </c>
      <c r="C10" s="60">
        <f t="shared" si="0"/>
        <v>2.2222222222222223E-2</v>
      </c>
      <c r="D10" s="58"/>
      <c r="E10" s="58"/>
      <c r="G10" s="61">
        <f t="shared" si="1"/>
        <v>200000</v>
      </c>
      <c r="H10" s="60">
        <f t="shared" si="2"/>
        <v>0.02</v>
      </c>
      <c r="J10" s="141"/>
      <c r="K10" s="145">
        <f t="shared" si="3"/>
        <v>200000</v>
      </c>
      <c r="L10" s="149">
        <f t="shared" si="4"/>
        <v>1.0593750026484374E-2</v>
      </c>
    </row>
    <row r="11" spans="1:12">
      <c r="B11" s="58">
        <f>'Common Stock'!B13</f>
        <v>200000</v>
      </c>
      <c r="C11" s="60">
        <f t="shared" si="0"/>
        <v>2.2222222222222223E-2</v>
      </c>
      <c r="D11" s="58"/>
      <c r="E11" s="58"/>
      <c r="G11" s="61">
        <f>SUM(B11+D11+E11)</f>
        <v>200000</v>
      </c>
      <c r="H11" s="60">
        <f t="shared" si="2"/>
        <v>0.02</v>
      </c>
      <c r="J11" s="141"/>
      <c r="K11" s="145">
        <f>G11</f>
        <v>200000</v>
      </c>
      <c r="L11" s="149">
        <f t="shared" si="4"/>
        <v>1.0593750026484374E-2</v>
      </c>
    </row>
    <row r="12" spans="1:12">
      <c r="A12" s="18" t="s">
        <v>58</v>
      </c>
      <c r="B12" s="58">
        <f>'2015 Option Plan'!B8</f>
        <v>2000000</v>
      </c>
      <c r="C12" s="60">
        <f t="shared" si="0"/>
        <v>0.22222222222222221</v>
      </c>
      <c r="D12" s="58"/>
      <c r="E12" s="58"/>
      <c r="G12" s="133">
        <f>B12</f>
        <v>2000000</v>
      </c>
      <c r="H12" s="60">
        <f t="shared" si="2"/>
        <v>0.2</v>
      </c>
      <c r="J12" s="145">
        <f>'Summary Cap'!B28</f>
        <v>2586037</v>
      </c>
      <c r="K12" s="145">
        <f>J12+G12</f>
        <v>4586037</v>
      </c>
      <c r="L12" s="149">
        <f t="shared" si="4"/>
        <v>0.24291664795104162</v>
      </c>
    </row>
    <row r="13" spans="1:12">
      <c r="A13" s="141" t="s">
        <v>60</v>
      </c>
      <c r="B13" s="142"/>
      <c r="C13" s="142"/>
      <c r="D13" s="142"/>
      <c r="E13" s="142"/>
      <c r="F13" s="141"/>
      <c r="G13" s="142">
        <v>0</v>
      </c>
      <c r="H13" s="143">
        <f>G13/G14</f>
        <v>0</v>
      </c>
      <c r="I13" s="141"/>
      <c r="J13" s="142">
        <f>'Series A Preferred'!D4</f>
        <v>6293019</v>
      </c>
      <c r="K13" s="144">
        <f>J13</f>
        <v>6293019</v>
      </c>
      <c r="L13" s="143">
        <f t="shared" si="4"/>
        <v>0.33333335098958339</v>
      </c>
    </row>
    <row r="14" spans="1:12">
      <c r="B14" s="133">
        <f>SUM(B4:B12)</f>
        <v>9000000</v>
      </c>
      <c r="C14" s="134">
        <f>SUM(C4:C12)</f>
        <v>1</v>
      </c>
      <c r="D14" s="58">
        <f>SUM(D4:D7)</f>
        <v>1000000</v>
      </c>
      <c r="E14" s="58">
        <f>SUM(E4:E12)</f>
        <v>0</v>
      </c>
      <c r="G14" s="61">
        <f>B14+D14+E14</f>
        <v>10000000</v>
      </c>
      <c r="H14" s="62">
        <f>SUM(H4:H12)</f>
        <v>1</v>
      </c>
      <c r="K14" s="61">
        <f>SUM(K4:K13)</f>
        <v>18879056</v>
      </c>
      <c r="L14" s="60">
        <f>SUM(L4:L13)</f>
        <v>1</v>
      </c>
    </row>
    <row r="15" spans="1:12">
      <c r="B15" s="58"/>
      <c r="C15" s="58"/>
      <c r="D15" s="58"/>
      <c r="E15" s="58"/>
    </row>
    <row r="19" spans="2:11">
      <c r="K19" s="61"/>
    </row>
    <row r="23" spans="2:11">
      <c r="B23" s="61"/>
      <c r="C23" s="60"/>
    </row>
    <row r="24" spans="2:11">
      <c r="B24" s="61"/>
      <c r="C24" s="60"/>
    </row>
    <row r="25" spans="2:11">
      <c r="B25" s="61"/>
      <c r="C25" s="60"/>
    </row>
    <row r="26" spans="2:11">
      <c r="B26" s="61"/>
      <c r="C26" s="60"/>
    </row>
    <row r="27" spans="2:11">
      <c r="B27" s="61"/>
      <c r="C27" s="60"/>
    </row>
    <row r="28" spans="2:11">
      <c r="B28" s="61"/>
    </row>
  </sheetData>
  <pageMargins left="0.7" right="0.7" top="0.75" bottom="0.75" header="0.3" footer="0.3"/>
  <pageSetup scale="58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36"/>
  <sheetViews>
    <sheetView zoomScale="110" zoomScaleNormal="110" zoomScalePageLayoutView="110" workbookViewId="0">
      <selection activeCell="A22" sqref="A22"/>
    </sheetView>
  </sheetViews>
  <sheetFormatPr baseColWidth="10" defaultColWidth="8.83203125" defaultRowHeight="12" x14ac:dyDescent="0"/>
  <cols>
    <col min="1" max="1" width="23.83203125" style="18" customWidth="1"/>
    <col min="2" max="3" width="14.5" style="18" bestFit="1" customWidth="1"/>
    <col min="4" max="4" width="14.5" style="18" customWidth="1"/>
    <col min="5" max="5" width="13.5" style="18" customWidth="1"/>
    <col min="6" max="6" width="15.5" style="18" bestFit="1" customWidth="1"/>
    <col min="7" max="7" width="31.5" style="18" customWidth="1"/>
    <col min="8" max="8" width="38.33203125" style="18" customWidth="1"/>
    <col min="9" max="9" width="50" style="18" customWidth="1"/>
    <col min="10" max="10" width="29.83203125" style="18" customWidth="1"/>
    <col min="11" max="16384" width="8.83203125" style="18"/>
  </cols>
  <sheetData>
    <row r="1" spans="1:10">
      <c r="A1" s="75" t="s">
        <v>41</v>
      </c>
      <c r="B1" s="76"/>
      <c r="C1" s="76"/>
      <c r="D1" s="76"/>
      <c r="E1" s="20"/>
      <c r="F1" s="20"/>
    </row>
    <row r="3" spans="1:10">
      <c r="A3" s="4" t="s">
        <v>7</v>
      </c>
      <c r="B3" s="1" t="s">
        <v>0</v>
      </c>
      <c r="C3" s="1"/>
      <c r="D3" s="1"/>
    </row>
    <row r="4" spans="1:10">
      <c r="A4" s="16" t="s">
        <v>6</v>
      </c>
      <c r="B4" s="7" t="s">
        <v>7</v>
      </c>
      <c r="C4" s="7"/>
      <c r="D4" s="7"/>
      <c r="G4" s="8"/>
      <c r="H4" s="8"/>
      <c r="I4" s="8"/>
      <c r="J4" s="90"/>
    </row>
    <row r="5" spans="1:10">
      <c r="A5" s="164"/>
      <c r="B5" s="9"/>
      <c r="C5" s="7"/>
      <c r="D5" s="7"/>
      <c r="G5" s="8"/>
      <c r="H5" s="8"/>
      <c r="I5" s="8"/>
      <c r="J5" s="90"/>
    </row>
    <row r="6" spans="1:10">
      <c r="A6" s="96" t="s">
        <v>113</v>
      </c>
      <c r="B6" s="58">
        <v>1590000</v>
      </c>
      <c r="C6" s="58"/>
      <c r="D6" s="70"/>
      <c r="G6" s="83"/>
      <c r="H6" s="83"/>
      <c r="I6" s="83"/>
      <c r="J6" s="83"/>
    </row>
    <row r="7" spans="1:10">
      <c r="A7" s="96" t="s">
        <v>114</v>
      </c>
      <c r="B7" s="58">
        <v>1590000</v>
      </c>
      <c r="C7" s="58"/>
      <c r="D7" s="70"/>
      <c r="G7" s="83"/>
      <c r="H7" s="83"/>
      <c r="I7" s="83"/>
      <c r="J7" s="83"/>
    </row>
    <row r="8" spans="1:10">
      <c r="A8" s="96" t="s">
        <v>115</v>
      </c>
      <c r="B8" s="58">
        <v>1590000</v>
      </c>
      <c r="C8" s="58"/>
      <c r="D8" s="70"/>
      <c r="G8" s="83"/>
      <c r="H8" s="83"/>
      <c r="I8" s="83"/>
      <c r="J8" s="83"/>
    </row>
    <row r="9" spans="1:10">
      <c r="A9" s="96" t="s">
        <v>116</v>
      </c>
      <c r="B9" s="58">
        <v>1590000</v>
      </c>
      <c r="C9" s="58"/>
      <c r="D9" s="70"/>
      <c r="G9" s="83"/>
      <c r="H9" s="83"/>
      <c r="I9" s="83"/>
      <c r="J9" s="83"/>
    </row>
    <row r="10" spans="1:10">
      <c r="A10" s="96" t="s">
        <v>117</v>
      </c>
      <c r="B10" s="58">
        <v>40000</v>
      </c>
      <c r="C10" s="58"/>
      <c r="D10" s="70"/>
      <c r="G10" s="83"/>
      <c r="H10" s="83"/>
      <c r="I10" s="83"/>
      <c r="J10" s="83"/>
    </row>
    <row r="11" spans="1:10">
      <c r="A11" s="96" t="s">
        <v>118</v>
      </c>
      <c r="B11" s="58">
        <v>200000</v>
      </c>
      <c r="C11" s="58"/>
      <c r="D11" s="70"/>
      <c r="G11" s="83"/>
      <c r="H11" s="83"/>
      <c r="I11" s="83"/>
      <c r="J11" s="83"/>
    </row>
    <row r="12" spans="1:10">
      <c r="A12" s="96" t="s">
        <v>119</v>
      </c>
      <c r="B12" s="58">
        <v>200000</v>
      </c>
      <c r="C12" s="58"/>
      <c r="D12" s="70"/>
      <c r="G12" s="83"/>
      <c r="H12" s="83"/>
      <c r="I12" s="83"/>
      <c r="J12" s="83"/>
    </row>
    <row r="13" spans="1:10">
      <c r="A13" s="96" t="s">
        <v>120</v>
      </c>
      <c r="B13" s="120">
        <v>200000</v>
      </c>
      <c r="C13" s="58"/>
      <c r="D13" s="70"/>
      <c r="G13" s="83"/>
      <c r="H13" s="83"/>
      <c r="I13" s="83"/>
      <c r="J13" s="83"/>
    </row>
    <row r="14" spans="1:10">
      <c r="B14" s="91">
        <f>SUM(B6:B13)</f>
        <v>7000000</v>
      </c>
      <c r="C14" s="91"/>
      <c r="D14" s="71"/>
      <c r="I14" s="110"/>
    </row>
    <row r="15" spans="1:10">
      <c r="I15" s="110"/>
    </row>
    <row r="16" spans="1:10">
      <c r="A16" s="20"/>
      <c r="B16" s="20"/>
      <c r="C16" s="20"/>
      <c r="D16" s="20"/>
      <c r="I16" s="110"/>
    </row>
    <row r="17" spans="1:8">
      <c r="A17" s="75" t="s">
        <v>44</v>
      </c>
      <c r="B17" s="76"/>
      <c r="C17" s="76"/>
      <c r="D17" s="76"/>
      <c r="E17" s="20"/>
      <c r="F17" s="20"/>
    </row>
    <row r="18" spans="1:8">
      <c r="G18" s="69"/>
    </row>
    <row r="19" spans="1:8" ht="13">
      <c r="D19" s="81" t="s">
        <v>54</v>
      </c>
      <c r="H19" s="89"/>
    </row>
    <row r="20" spans="1:8" ht="13">
      <c r="A20" s="4" t="s">
        <v>7</v>
      </c>
      <c r="B20" s="1" t="s">
        <v>0</v>
      </c>
      <c r="C20" s="2" t="s">
        <v>1</v>
      </c>
      <c r="D20" s="2" t="s">
        <v>50</v>
      </c>
      <c r="H20" s="89"/>
    </row>
    <row r="21" spans="1:8" ht="13">
      <c r="A21" s="16" t="s">
        <v>6</v>
      </c>
      <c r="B21" s="7" t="s">
        <v>2</v>
      </c>
      <c r="C21" s="8" t="s">
        <v>5</v>
      </c>
      <c r="D21" s="8" t="s">
        <v>72</v>
      </c>
      <c r="H21" s="89"/>
    </row>
    <row r="22" spans="1:8" ht="13">
      <c r="A22" s="96" t="str">
        <f t="shared" ref="A22:B29" si="0">A6</f>
        <v>Shareholder 1</v>
      </c>
      <c r="B22" s="61">
        <f t="shared" si="0"/>
        <v>1590000</v>
      </c>
      <c r="C22" s="84">
        <f>B22/$B$30</f>
        <v>0.22714285714285715</v>
      </c>
      <c r="D22" s="84">
        <f>(B22+'FF Preferred'!B11)/'Summary Cap'!$I$18</f>
        <v>0.184</v>
      </c>
      <c r="H22" s="89"/>
    </row>
    <row r="23" spans="1:8" ht="13">
      <c r="A23" s="96" t="str">
        <f t="shared" si="0"/>
        <v>Shareholder 2</v>
      </c>
      <c r="B23" s="61">
        <f t="shared" si="0"/>
        <v>1590000</v>
      </c>
      <c r="C23" s="84">
        <f t="shared" ref="C23:C28" si="1">B23/$B$30</f>
        <v>0.22714285714285715</v>
      </c>
      <c r="D23" s="84">
        <f>(B23+'FF Preferred'!B12)/'Summary Cap'!$I$18</f>
        <v>0.25900000000000001</v>
      </c>
      <c r="H23" s="89"/>
    </row>
    <row r="24" spans="1:8" ht="13">
      <c r="A24" s="96" t="str">
        <f t="shared" si="0"/>
        <v>Shareholder 3</v>
      </c>
      <c r="B24" s="61">
        <f t="shared" si="0"/>
        <v>1590000</v>
      </c>
      <c r="C24" s="84">
        <f t="shared" si="1"/>
        <v>0.22714285714285715</v>
      </c>
      <c r="D24" s="84">
        <f>(B24+'FF Preferred'!B13)/'Summary Cap'!$I$18</f>
        <v>0.159</v>
      </c>
      <c r="H24" s="89"/>
    </row>
    <row r="25" spans="1:8" ht="13">
      <c r="A25" s="96" t="str">
        <f t="shared" si="0"/>
        <v>Shareholder 4</v>
      </c>
      <c r="B25" s="61">
        <f t="shared" si="0"/>
        <v>1590000</v>
      </c>
      <c r="C25" s="84">
        <f t="shared" si="1"/>
        <v>0.22714285714285715</v>
      </c>
      <c r="D25" s="84">
        <f>(B25+'FF Preferred'!B14)/'Summary Cap'!$I$18</f>
        <v>0.159</v>
      </c>
      <c r="H25" s="89"/>
    </row>
    <row r="26" spans="1:8" ht="13">
      <c r="A26" s="96" t="str">
        <f t="shared" si="0"/>
        <v>Shareholder 5</v>
      </c>
      <c r="B26" s="61">
        <f t="shared" si="0"/>
        <v>40000</v>
      </c>
      <c r="C26" s="84">
        <f t="shared" si="1"/>
        <v>5.7142857142857143E-3</v>
      </c>
      <c r="D26" s="84">
        <f>(B26+'FF Preferred'!B15)/'Summary Cap'!$I$18</f>
        <v>4.0000000000000001E-3</v>
      </c>
      <c r="H26" s="89"/>
    </row>
    <row r="27" spans="1:8" ht="13">
      <c r="A27" s="96" t="str">
        <f t="shared" si="0"/>
        <v>Shareholder 6</v>
      </c>
      <c r="B27" s="61">
        <f t="shared" si="0"/>
        <v>200000</v>
      </c>
      <c r="C27" s="84">
        <f t="shared" si="1"/>
        <v>2.8571428571428571E-2</v>
      </c>
      <c r="D27" s="84">
        <f>(B27+'FF Preferred'!B16)/'Summary Cap'!$I$18</f>
        <v>0.02</v>
      </c>
      <c r="H27" s="89"/>
    </row>
    <row r="28" spans="1:8" ht="13">
      <c r="A28" s="96" t="str">
        <f t="shared" si="0"/>
        <v>Shareholder 7</v>
      </c>
      <c r="B28" s="61">
        <f t="shared" si="0"/>
        <v>200000</v>
      </c>
      <c r="C28" s="84">
        <f t="shared" si="1"/>
        <v>2.8571428571428571E-2</v>
      </c>
      <c r="D28" s="84">
        <f>(B28+'FF Preferred'!B17)/'Summary Cap'!$I$18</f>
        <v>0.02</v>
      </c>
      <c r="H28" s="89"/>
    </row>
    <row r="29" spans="1:8" ht="13">
      <c r="A29" s="96" t="str">
        <f t="shared" si="0"/>
        <v>Shareholder 8</v>
      </c>
      <c r="B29" s="129">
        <f t="shared" si="0"/>
        <v>200000</v>
      </c>
      <c r="C29" s="151">
        <f>B29/$B$30</f>
        <v>2.8571428571428571E-2</v>
      </c>
      <c r="D29" s="151">
        <f>(B29)/'Summary Cap'!$I$18</f>
        <v>0.02</v>
      </c>
      <c r="H29" s="89"/>
    </row>
    <row r="30" spans="1:8">
      <c r="A30" s="99" t="s">
        <v>61</v>
      </c>
      <c r="B30" s="74">
        <f>SUM(B22:B29)</f>
        <v>7000000</v>
      </c>
      <c r="C30" s="72">
        <f>SUM(C22:C29)</f>
        <v>1</v>
      </c>
      <c r="D30" s="72">
        <f>SUM(D22:D29)</f>
        <v>0.82500000000000007</v>
      </c>
    </row>
    <row r="36" spans="1:4">
      <c r="A36" s="15"/>
      <c r="B36" s="14"/>
      <c r="C36" s="14"/>
      <c r="D36" s="14"/>
    </row>
  </sheetData>
  <phoneticPr fontId="2" type="noConversion"/>
  <pageMargins left="0.75" right="0.75" top="1" bottom="1" header="0.5" footer="0.5"/>
  <pageSetup scale="57" orientation="landscape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S30"/>
  <sheetViews>
    <sheetView zoomScale="110" zoomScaleNormal="110" zoomScalePageLayoutView="110" workbookViewId="0">
      <selection activeCell="A20" sqref="A20"/>
    </sheetView>
  </sheetViews>
  <sheetFormatPr baseColWidth="10" defaultColWidth="8.83203125" defaultRowHeight="12" x14ac:dyDescent="0"/>
  <cols>
    <col min="1" max="1" width="21.83203125" style="18" bestFit="1" customWidth="1"/>
    <col min="2" max="2" width="18.6640625" style="18" customWidth="1"/>
    <col min="3" max="3" width="18.1640625" style="18" bestFit="1" customWidth="1"/>
    <col min="4" max="4" width="12" style="18" bestFit="1" customWidth="1"/>
    <col min="5" max="5" width="8.83203125" style="18"/>
    <col min="6" max="6" width="12.5" style="18" customWidth="1"/>
    <col min="7" max="10" width="8.83203125" style="18"/>
    <col min="11" max="11" width="22.5" style="18" customWidth="1"/>
    <col min="12" max="12" width="15" style="18" customWidth="1"/>
    <col min="13" max="13" width="13.83203125" style="18" customWidth="1"/>
    <col min="14" max="14" width="8.83203125" style="18"/>
    <col min="15" max="15" width="15" style="18" customWidth="1"/>
    <col min="16" max="16" width="27.1640625" style="18" customWidth="1"/>
    <col min="17" max="17" width="17.33203125" style="18" bestFit="1" customWidth="1"/>
    <col min="18" max="18" width="16.5" style="18" bestFit="1" customWidth="1"/>
    <col min="19" max="19" width="16" style="18" customWidth="1"/>
    <col min="20" max="20" width="15.5" style="18" bestFit="1" customWidth="1"/>
    <col min="21" max="16384" width="8.83203125" style="18"/>
  </cols>
  <sheetData>
    <row r="1" spans="1:19">
      <c r="A1" s="75" t="s">
        <v>76</v>
      </c>
      <c r="B1" s="76"/>
      <c r="C1" s="76"/>
      <c r="D1" s="76"/>
    </row>
    <row r="5" spans="1:19">
      <c r="D5" s="81" t="s">
        <v>42</v>
      </c>
      <c r="F5" s="81"/>
    </row>
    <row r="6" spans="1:19">
      <c r="A6" s="4" t="s">
        <v>72</v>
      </c>
      <c r="B6" s="1" t="s">
        <v>0</v>
      </c>
      <c r="C6" s="2" t="s">
        <v>1</v>
      </c>
      <c r="D6" s="2" t="s">
        <v>3</v>
      </c>
      <c r="F6" s="81"/>
    </row>
    <row r="7" spans="1:19">
      <c r="A7" s="16" t="s">
        <v>39</v>
      </c>
      <c r="B7" s="7" t="s">
        <v>71</v>
      </c>
      <c r="C7" s="8" t="s">
        <v>5</v>
      </c>
      <c r="D7" s="8" t="s">
        <v>5</v>
      </c>
      <c r="F7" s="98"/>
    </row>
    <row r="8" spans="1:19">
      <c r="A8" s="165" t="s">
        <v>121</v>
      </c>
      <c r="B8" s="166">
        <v>250000</v>
      </c>
      <c r="C8" s="8"/>
      <c r="D8" s="8"/>
      <c r="F8" s="98"/>
    </row>
    <row r="9" spans="1:19">
      <c r="A9" s="165" t="s">
        <v>122</v>
      </c>
      <c r="B9" s="166">
        <v>250000</v>
      </c>
      <c r="C9" s="8"/>
      <c r="D9" s="8"/>
      <c r="F9" s="98"/>
    </row>
    <row r="10" spans="1:19">
      <c r="A10" s="165" t="s">
        <v>123</v>
      </c>
      <c r="B10" s="166">
        <v>250000</v>
      </c>
      <c r="C10" s="8"/>
      <c r="D10" s="8"/>
      <c r="F10" s="98"/>
    </row>
    <row r="11" spans="1:19" ht="13" thickBot="1">
      <c r="A11" s="165" t="s">
        <v>124</v>
      </c>
      <c r="B11" s="147">
        <v>250000</v>
      </c>
      <c r="C11" s="148">
        <f>B11/$B$12</f>
        <v>0.25</v>
      </c>
      <c r="D11" s="148">
        <f>B11/'Summary Cap'!$I$18</f>
        <v>2.5000000000000001E-2</v>
      </c>
      <c r="F11" s="118"/>
    </row>
    <row r="12" spans="1:19" ht="13" thickTop="1">
      <c r="A12" s="15" t="s">
        <v>4</v>
      </c>
      <c r="B12" s="71">
        <f>SUM(B8:B11)</f>
        <v>1000000</v>
      </c>
      <c r="C12" s="68">
        <f>SUM(C11:C11)</f>
        <v>0.25</v>
      </c>
      <c r="D12" s="68">
        <f>SUM(D11:D11)</f>
        <v>2.5000000000000001E-2</v>
      </c>
      <c r="L12" s="100"/>
      <c r="M12" s="101"/>
      <c r="O12" s="101"/>
      <c r="Q12" s="101"/>
      <c r="S12" s="62"/>
    </row>
    <row r="13" spans="1:19">
      <c r="B13" s="73"/>
      <c r="C13" s="73"/>
      <c r="L13" s="100"/>
      <c r="M13" s="101"/>
      <c r="O13" s="101"/>
      <c r="Q13" s="101"/>
      <c r="S13" s="62"/>
    </row>
    <row r="14" spans="1:19">
      <c r="L14" s="100"/>
      <c r="M14" s="101"/>
      <c r="N14" s="102"/>
      <c r="O14" s="101"/>
      <c r="P14" s="70"/>
      <c r="Q14" s="101"/>
      <c r="R14" s="70"/>
      <c r="S14" s="62"/>
    </row>
    <row r="15" spans="1:19">
      <c r="B15" s="73"/>
      <c r="C15" s="73"/>
      <c r="R15" s="102"/>
    </row>
    <row r="16" spans="1:19">
      <c r="B16" s="73"/>
      <c r="C16" s="73"/>
      <c r="M16" s="101"/>
      <c r="R16" s="102"/>
    </row>
    <row r="17" spans="2:18">
      <c r="B17" s="73"/>
      <c r="C17" s="73"/>
      <c r="M17" s="101"/>
      <c r="Q17" s="101"/>
    </row>
    <row r="18" spans="2:18">
      <c r="B18" s="73"/>
      <c r="C18" s="73"/>
    </row>
    <row r="20" spans="2:18">
      <c r="L20" s="103"/>
      <c r="M20" s="102"/>
      <c r="N20" s="103"/>
      <c r="O20" s="102"/>
      <c r="P20" s="62"/>
    </row>
    <row r="21" spans="2:18">
      <c r="L21" s="103"/>
      <c r="M21" s="102"/>
      <c r="N21" s="103"/>
      <c r="O21" s="102"/>
      <c r="P21" s="62"/>
    </row>
    <row r="22" spans="2:18">
      <c r="L22" s="103"/>
      <c r="M22" s="102"/>
      <c r="N22" s="103"/>
      <c r="O22" s="102"/>
      <c r="P22" s="62"/>
    </row>
    <row r="23" spans="2:18">
      <c r="L23" s="103"/>
    </row>
    <row r="24" spans="2:18">
      <c r="L24" s="102"/>
    </row>
    <row r="25" spans="2:18">
      <c r="L25" s="100"/>
      <c r="N25" s="70"/>
      <c r="R25" s="104"/>
    </row>
    <row r="26" spans="2:18">
      <c r="L26" s="102"/>
    </row>
    <row r="27" spans="2:18">
      <c r="L27" s="102"/>
      <c r="M27" s="105"/>
    </row>
    <row r="29" spans="2:18">
      <c r="L29" s="102"/>
    </row>
    <row r="30" spans="2:18">
      <c r="O30" s="102"/>
    </row>
  </sheetData>
  <pageMargins left="0.7" right="0.7" top="0.75" bottom="0.75" header="0.3" footer="0.3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41"/>
  <sheetViews>
    <sheetView tabSelected="1" zoomScale="120" zoomScaleNormal="120" zoomScalePageLayoutView="120" workbookViewId="0">
      <selection activeCell="B7" sqref="B7"/>
    </sheetView>
  </sheetViews>
  <sheetFormatPr baseColWidth="10" defaultColWidth="8.83203125" defaultRowHeight="12" x14ac:dyDescent="0"/>
  <cols>
    <col min="1" max="1" width="27.6640625" style="18" customWidth="1"/>
    <col min="2" max="2" width="14" style="18" bestFit="1" customWidth="1"/>
    <col min="3" max="3" width="16.83203125" style="39" customWidth="1"/>
    <col min="4" max="4" width="9.5" style="18" customWidth="1"/>
    <col min="5" max="5" width="12.5" style="18" customWidth="1"/>
    <col min="6" max="6" width="19.6640625" style="18" customWidth="1"/>
    <col min="7" max="7" width="19.5" style="18" customWidth="1"/>
    <col min="8" max="8" width="15.33203125" style="18" customWidth="1"/>
    <col min="9" max="9" width="17.6640625" style="18" customWidth="1"/>
    <col min="10" max="10" width="24" style="18" customWidth="1"/>
    <col min="11" max="11" width="21" style="18" customWidth="1"/>
    <col min="12" max="12" width="31" style="18" customWidth="1"/>
    <col min="13" max="13" width="41.33203125" style="18" customWidth="1"/>
    <col min="14" max="14" width="38.5" style="18" customWidth="1"/>
    <col min="15" max="15" width="20" style="18" bestFit="1" customWidth="1"/>
    <col min="16" max="16384" width="8.83203125" style="18"/>
  </cols>
  <sheetData>
    <row r="1" spans="1:15">
      <c r="A1" s="119" t="s">
        <v>70</v>
      </c>
    </row>
    <row r="3" spans="1:15">
      <c r="A3" s="18" t="s">
        <v>30</v>
      </c>
      <c r="B3" s="58">
        <v>2000000</v>
      </c>
      <c r="C3" s="123"/>
      <c r="E3" s="73"/>
      <c r="F3" s="88"/>
    </row>
    <row r="4" spans="1:15" s="20" customFormat="1">
      <c r="A4" s="20" t="s">
        <v>31</v>
      </c>
      <c r="B4" s="26">
        <f>B28</f>
        <v>0</v>
      </c>
      <c r="C4" s="146"/>
    </row>
    <row r="5" spans="1:15">
      <c r="A5" s="18" t="s">
        <v>32</v>
      </c>
      <c r="B5" s="58">
        <v>0</v>
      </c>
      <c r="C5" s="123"/>
      <c r="D5" s="60"/>
      <c r="E5" s="60"/>
      <c r="F5" s="60"/>
    </row>
    <row r="6" spans="1:15">
      <c r="A6" s="18" t="s">
        <v>43</v>
      </c>
      <c r="B6" s="58">
        <v>0</v>
      </c>
      <c r="C6" s="123"/>
      <c r="D6" s="60"/>
      <c r="E6" s="60"/>
      <c r="F6" s="60"/>
    </row>
    <row r="7" spans="1:15">
      <c r="A7" s="18" t="s">
        <v>33</v>
      </c>
      <c r="B7" s="58">
        <v>0</v>
      </c>
      <c r="C7" s="123"/>
    </row>
    <row r="8" spans="1:15">
      <c r="A8" s="18" t="s">
        <v>34</v>
      </c>
      <c r="B8" s="74">
        <f>B3-B4-B5-B6+B7</f>
        <v>2000000</v>
      </c>
      <c r="C8" s="124"/>
      <c r="D8" s="60"/>
      <c r="E8" s="60"/>
      <c r="F8" s="60"/>
    </row>
    <row r="10" spans="1:15" s="122" customFormat="1" ht="12.75" customHeight="1">
      <c r="A10" s="92"/>
      <c r="B10" s="93"/>
      <c r="C10" s="125"/>
      <c r="D10" s="93"/>
      <c r="E10" s="93"/>
      <c r="F10" s="93"/>
      <c r="G10" s="93"/>
      <c r="H10" s="93"/>
      <c r="I10" s="93"/>
      <c r="J10" s="93"/>
      <c r="K10" s="93"/>
      <c r="L10" s="93"/>
      <c r="M10" s="93"/>
      <c r="O10" s="93"/>
    </row>
    <row r="12" spans="1:15">
      <c r="A12" s="59" t="s">
        <v>47</v>
      </c>
      <c r="M12" s="83"/>
    </row>
    <row r="13" spans="1:15">
      <c r="A13" s="18" t="s">
        <v>30</v>
      </c>
      <c r="B13" s="58">
        <f>B3+'Summary Cap'!B28</f>
        <v>4586037</v>
      </c>
      <c r="M13" s="83"/>
    </row>
    <row r="14" spans="1:15">
      <c r="A14" s="18" t="s">
        <v>31</v>
      </c>
      <c r="B14" s="58">
        <v>0</v>
      </c>
      <c r="M14" s="83"/>
    </row>
    <row r="15" spans="1:15">
      <c r="A15" s="18" t="s">
        <v>32</v>
      </c>
      <c r="B15" s="58">
        <f>B5</f>
        <v>0</v>
      </c>
      <c r="M15" s="83"/>
    </row>
    <row r="16" spans="1:15">
      <c r="A16" s="18" t="s">
        <v>43</v>
      </c>
      <c r="B16" s="58">
        <f>B6</f>
        <v>0</v>
      </c>
      <c r="M16" s="83"/>
    </row>
    <row r="17" spans="1:13">
      <c r="A17" s="18" t="s">
        <v>33</v>
      </c>
      <c r="B17" s="58">
        <f>B7</f>
        <v>0</v>
      </c>
      <c r="D17" s="85"/>
      <c r="E17" s="85"/>
      <c r="F17" s="85"/>
      <c r="G17" s="85"/>
      <c r="H17" s="87"/>
      <c r="I17" s="85"/>
      <c r="K17" s="85"/>
      <c r="L17" s="83"/>
      <c r="M17" s="83"/>
    </row>
    <row r="18" spans="1:13">
      <c r="A18" s="18" t="s">
        <v>34</v>
      </c>
      <c r="B18" s="91">
        <f>B13-B14-B15-B16+B17</f>
        <v>4586037</v>
      </c>
      <c r="D18" s="85"/>
      <c r="E18" s="85"/>
      <c r="F18" s="85"/>
      <c r="G18" s="86"/>
      <c r="H18" s="87"/>
      <c r="I18" s="85"/>
      <c r="J18" s="85"/>
      <c r="K18" s="85"/>
      <c r="L18" s="83"/>
      <c r="M18" s="83"/>
    </row>
    <row r="19" spans="1:13">
      <c r="B19" s="58"/>
      <c r="G19" s="61"/>
      <c r="H19" s="58"/>
      <c r="L19" s="83"/>
      <c r="M19" s="83"/>
    </row>
    <row r="20" spans="1:13">
      <c r="B20" s="58"/>
      <c r="D20" s="70"/>
      <c r="E20" s="70"/>
      <c r="F20" s="70"/>
      <c r="G20" s="62"/>
      <c r="H20" s="58"/>
      <c r="L20" s="83"/>
      <c r="M20" s="83"/>
    </row>
    <row r="21" spans="1:13">
      <c r="A21" s="92"/>
      <c r="B21" s="161"/>
      <c r="D21" s="70"/>
      <c r="E21" s="70"/>
      <c r="F21" s="70"/>
      <c r="H21" s="58"/>
      <c r="L21" s="83"/>
      <c r="M21" s="83"/>
    </row>
    <row r="22" spans="1:13">
      <c r="A22" s="122"/>
      <c r="B22" s="162"/>
    </row>
    <row r="23" spans="1:13">
      <c r="A23" s="163"/>
      <c r="B23" s="122"/>
    </row>
    <row r="24" spans="1:13">
      <c r="A24" s="122"/>
      <c r="B24" s="122"/>
    </row>
    <row r="25" spans="1:13">
      <c r="A25" s="122"/>
      <c r="B25" s="161"/>
    </row>
    <row r="26" spans="1:13">
      <c r="A26" s="122"/>
      <c r="B26" s="161"/>
    </row>
    <row r="27" spans="1:13">
      <c r="A27" s="122"/>
      <c r="B27" s="161"/>
    </row>
    <row r="28" spans="1:13">
      <c r="A28" s="122"/>
      <c r="B28" s="161"/>
    </row>
    <row r="29" spans="1:13">
      <c r="A29" s="122"/>
      <c r="B29" s="161"/>
    </row>
    <row r="30" spans="1:13">
      <c r="B30" s="58"/>
    </row>
    <row r="31" spans="1:13">
      <c r="B31" s="58"/>
    </row>
    <row r="32" spans="1:13">
      <c r="B32" s="58"/>
    </row>
    <row r="33" spans="2:2">
      <c r="B33" s="58"/>
    </row>
    <row r="34" spans="2:2">
      <c r="B34" s="58"/>
    </row>
    <row r="35" spans="2:2">
      <c r="B35" s="58"/>
    </row>
    <row r="36" spans="2:2">
      <c r="B36" s="58"/>
    </row>
    <row r="37" spans="2:2">
      <c r="B37" s="58"/>
    </row>
    <row r="38" spans="2:2">
      <c r="B38" s="58"/>
    </row>
    <row r="39" spans="2:2">
      <c r="B39" s="58"/>
    </row>
    <row r="40" spans="2:2">
      <c r="B40" s="58"/>
    </row>
    <row r="41" spans="2:2">
      <c r="B41" s="58"/>
    </row>
  </sheetData>
  <phoneticPr fontId="2" type="noConversion"/>
  <pageMargins left="0.14000000000000001" right="0.25" top="1.1100000000000001" bottom="1" header="0.5" footer="0.5"/>
  <pageSetup scale="50" orientation="landscape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H9" sqref="H9"/>
    </sheetView>
  </sheetViews>
  <sheetFormatPr baseColWidth="10" defaultColWidth="8.83203125" defaultRowHeight="12" x14ac:dyDescent="0"/>
  <cols>
    <col min="1" max="1" width="32" style="18" customWidth="1"/>
    <col min="2" max="2" width="20.5" style="18" customWidth="1"/>
    <col min="3" max="3" width="13.6640625" style="18" bestFit="1" customWidth="1"/>
    <col min="4" max="4" width="16.83203125" style="18" bestFit="1" customWidth="1"/>
    <col min="5" max="5" width="15.83203125" style="18" bestFit="1" customWidth="1"/>
    <col min="6" max="6" width="18.83203125" style="18" customWidth="1"/>
    <col min="7" max="7" width="14.5" style="18" customWidth="1"/>
    <col min="8" max="8" width="12.33203125" style="18" customWidth="1"/>
    <col min="9" max="16384" width="8.83203125" style="18"/>
  </cols>
  <sheetData>
    <row r="1" spans="1:8">
      <c r="A1" s="75" t="s">
        <v>95</v>
      </c>
      <c r="B1" s="76"/>
      <c r="C1" s="76"/>
      <c r="D1" s="76"/>
      <c r="E1" s="76"/>
    </row>
    <row r="2" spans="1:8" ht="13" thickBot="1"/>
    <row r="3" spans="1:8" ht="13" thickBot="1">
      <c r="A3" s="18" t="s">
        <v>96</v>
      </c>
      <c r="B3" s="172">
        <v>42551</v>
      </c>
    </row>
    <row r="4" spans="1:8">
      <c r="A4" s="18" t="s">
        <v>97</v>
      </c>
      <c r="B4" s="173">
        <v>0.03</v>
      </c>
    </row>
    <row r="5" spans="1:8">
      <c r="A5" s="18" t="s">
        <v>98</v>
      </c>
      <c r="B5" s="58">
        <v>9520000</v>
      </c>
      <c r="D5" s="98" t="s">
        <v>99</v>
      </c>
    </row>
    <row r="6" spans="1:8">
      <c r="A6" s="18" t="s">
        <v>100</v>
      </c>
      <c r="B6" s="174">
        <f>'Summary Cap'!B5*(1-'Convertible Notes'!D6)</f>
        <v>0.38137501120000006</v>
      </c>
      <c r="D6" s="175">
        <v>0.2</v>
      </c>
    </row>
    <row r="8" spans="1:8">
      <c r="A8" s="98" t="s">
        <v>101</v>
      </c>
      <c r="B8" s="98" t="s">
        <v>102</v>
      </c>
      <c r="C8" s="98" t="s">
        <v>103</v>
      </c>
      <c r="D8" s="98" t="s">
        <v>104</v>
      </c>
      <c r="E8" s="98" t="s">
        <v>105</v>
      </c>
      <c r="F8" s="98" t="s">
        <v>106</v>
      </c>
      <c r="G8" s="98" t="s">
        <v>107</v>
      </c>
      <c r="H8" s="98" t="s">
        <v>108</v>
      </c>
    </row>
    <row r="9" spans="1:8" ht="13" thickBot="1">
      <c r="A9" s="176" t="s">
        <v>93</v>
      </c>
      <c r="B9" s="177">
        <v>1500000</v>
      </c>
      <c r="C9" s="178">
        <v>42186</v>
      </c>
      <c r="D9" s="179">
        <f t="shared" ref="D9" si="0">$B$3-C9</f>
        <v>365</v>
      </c>
      <c r="E9" s="180">
        <f t="shared" ref="E9" si="1">ROUND((B9*$B$4*D9/365),2)</f>
        <v>45000</v>
      </c>
      <c r="F9" s="180">
        <f t="shared" ref="F9" si="2">B9+E9</f>
        <v>1545000</v>
      </c>
      <c r="G9" s="181">
        <f t="shared" ref="G9" si="3">ROUNDDOWN((F9/$B$6),0)</f>
        <v>4051130</v>
      </c>
      <c r="H9" s="180">
        <f t="shared" ref="H9" si="4">F9-(G9*$B$6)</f>
        <v>0.2508773438166827</v>
      </c>
    </row>
    <row r="10" spans="1:8" ht="13" thickTop="1">
      <c r="B10" s="182">
        <f>SUM(B9:B9)</f>
        <v>1500000</v>
      </c>
      <c r="C10" s="99"/>
      <c r="D10" s="99"/>
      <c r="E10" s="182">
        <f>SUM(E9:E9)</f>
        <v>45000</v>
      </c>
      <c r="F10" s="182">
        <f>SUM(F9:F9)</f>
        <v>1545000</v>
      </c>
      <c r="G10" s="91">
        <f>SUM(G9:G9)</f>
        <v>4051130</v>
      </c>
      <c r="H10" s="182">
        <f>SUM(H9:H9)</f>
        <v>0.2508773438166827</v>
      </c>
    </row>
    <row r="12" spans="1:8">
      <c r="A12" s="20"/>
    </row>
    <row r="13" spans="1:8">
      <c r="A13" s="20"/>
    </row>
    <row r="17" spans="1:2" ht="15">
      <c r="A17" s="183"/>
      <c r="B17"/>
    </row>
    <row r="18" spans="1:2" ht="15">
      <c r="A18" s="184"/>
      <c r="B18" s="184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6"/>
  <sheetViews>
    <sheetView zoomScale="110" zoomScaleNormal="110" zoomScalePageLayoutView="110" workbookViewId="0">
      <selection activeCell="D6" sqref="D6"/>
    </sheetView>
  </sheetViews>
  <sheetFormatPr baseColWidth="10" defaultColWidth="8.83203125" defaultRowHeight="12" x14ac:dyDescent="0"/>
  <cols>
    <col min="1" max="1" width="46.6640625" style="18" customWidth="1"/>
    <col min="2" max="2" width="13.6640625" style="110" customWidth="1"/>
    <col min="3" max="3" width="11.6640625" style="18" customWidth="1"/>
    <col min="4" max="4" width="12.6640625" style="18" customWidth="1"/>
    <col min="5" max="5" width="11.1640625" style="18" customWidth="1"/>
    <col min="6" max="10" width="8.83203125" style="18"/>
    <col min="11" max="11" width="18" style="18" customWidth="1"/>
    <col min="12" max="16384" width="8.83203125" style="18"/>
  </cols>
  <sheetData>
    <row r="1" spans="1:6" s="111" customFormat="1" ht="36">
      <c r="A1" s="111" t="s">
        <v>92</v>
      </c>
      <c r="B1" s="112" t="s">
        <v>35</v>
      </c>
      <c r="C1" s="111" t="s">
        <v>51</v>
      </c>
      <c r="D1" s="111" t="s">
        <v>52</v>
      </c>
      <c r="E1" s="111" t="s">
        <v>48</v>
      </c>
      <c r="F1" s="111" t="s">
        <v>49</v>
      </c>
    </row>
    <row r="2" spans="1:6" s="111" customFormat="1">
      <c r="A2" s="113" t="s">
        <v>53</v>
      </c>
      <c r="B2" s="112"/>
    </row>
    <row r="3" spans="1:6" s="111" customFormat="1">
      <c r="A3" s="115" t="s">
        <v>77</v>
      </c>
      <c r="B3" s="127">
        <f>'Summary Cap'!B31</f>
        <v>3000000.2399999998</v>
      </c>
      <c r="C3" s="128"/>
      <c r="D3" s="120">
        <f>ROUNDUP((3000000/'Summary Cap'!$B$5),0)</f>
        <v>6293019</v>
      </c>
      <c r="E3" s="121">
        <f>D3/'Summary Cap'!$C$33</f>
        <v>0.60836507672114937</v>
      </c>
      <c r="F3" s="121">
        <f>D3/'Summary Cap'!$I$28</f>
        <v>0.27444256230629793</v>
      </c>
    </row>
    <row r="4" spans="1:6" ht="13" thickBot="1">
      <c r="A4" s="114" t="s">
        <v>86</v>
      </c>
      <c r="B4" s="116">
        <f>B3</f>
        <v>3000000.2399999998</v>
      </c>
      <c r="C4" s="130"/>
      <c r="D4" s="117">
        <f>D3</f>
        <v>6293019</v>
      </c>
      <c r="E4" s="126"/>
      <c r="F4" s="126"/>
    </row>
    <row r="5" spans="1:6" ht="13" thickTop="1"/>
    <row r="6" spans="1:6">
      <c r="A6" s="18" t="s">
        <v>87</v>
      </c>
      <c r="D6" s="61">
        <f>D4+'FF Preferred'!B12</f>
        <v>7293019</v>
      </c>
    </row>
  </sheetData>
  <sortState ref="A20:J30">
    <sortCondition descending="1" ref="C20:C30"/>
  </sortState>
  <pageMargins left="0.7" right="0.7" top="0.75" bottom="0.75" header="0.3" footer="0.3"/>
  <pageSetup orientation="landscape" horizontalDpi="300" verticalDpi="30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im:links xmlns:im="http://www.autonomy.com/WorkSite">
  <im:linkstream>C:\Users\JP075186\AppData\Local\Interwoven\NRPortbl\NAI\JP075186\700133023_5.xlsx*</im:linkstream>
</im:links>
</file>

<file path=customXml/itemProps1.xml><?xml version="1.0" encoding="utf-8"?>
<ds:datastoreItem xmlns:ds="http://schemas.openxmlformats.org/officeDocument/2006/customXml" ds:itemID="{A479B106-D126-4CD7-9352-EAA25B88BF02}">
  <ds:schemaRefs>
    <ds:schemaRef ds:uri="http://www.autonomy.com/WorkSi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Cap</vt:lpstr>
      <vt:lpstr>Shareholder List</vt:lpstr>
      <vt:lpstr>Common Stock</vt:lpstr>
      <vt:lpstr>FF Preferred</vt:lpstr>
      <vt:lpstr>2015 Option Plan</vt:lpstr>
      <vt:lpstr>Convertible Notes</vt:lpstr>
      <vt:lpstr>Series A Preferred</vt:lpstr>
    </vt:vector>
  </TitlesOfParts>
  <Manager/>
  <Company/>
  <LinksUpToDate>false</LinksUpToDate>
  <SharedDoc>false</SharedDoc>
  <HyperlinkBase> </HyperlinkBase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_</dc:title>
  <dc:subject/>
  <dc:creator/>
  <cp:keywords/>
  <dc:description/>
  <cp:lastModifiedBy/>
  <dcterms:created xsi:type="dcterms:W3CDTF">2015-06-12T00:29:09Z</dcterms:created>
  <dcterms:modified xsi:type="dcterms:W3CDTF">2016-11-22T21:34:37Z</dcterms:modified>
  <cp:category/>
</cp:coreProperties>
</file>