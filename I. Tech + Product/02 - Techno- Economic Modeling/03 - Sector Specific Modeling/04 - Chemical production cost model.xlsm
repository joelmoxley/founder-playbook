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9.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66925"/>
  <mc:AlternateContent xmlns:mc="http://schemas.openxmlformats.org/markup-compatibility/2006">
    <mc:Choice Requires="x15">
      <x15ac:absPath xmlns:x15ac="http://schemas.microsoft.com/office/spreadsheetml/2010/11/ac" url="C:\Users\cburk\Google Drive (cburk@burkengineeringllc.com)\Techonomics\Burk Engineering\01 - Modeling video series\00 - Produced videos &amp; models\"/>
    </mc:Choice>
  </mc:AlternateContent>
  <bookViews>
    <workbookView xWindow="0" yWindow="0" windowWidth="19170" windowHeight="8670" tabRatio="890"/>
  </bookViews>
  <sheets>
    <sheet name="Documentation" sheetId="15" r:id="rId1"/>
    <sheet name="Dashboard" sheetId="12" r:id="rId2"/>
    <sheet name="Tornado" sheetId="13" r:id="rId3"/>
    <sheet name="Process model" sheetId="3" r:id="rId4"/>
    <sheet name="Equipment sizing" sheetId="6" r:id="rId5"/>
    <sheet name="Equipment costs" sheetId="5" r:id="rId6"/>
    <sheet name="CapEx" sheetId="8" r:id="rId7"/>
    <sheet name="OpEx &amp; Rev" sheetId="9" r:id="rId8"/>
    <sheet name="Cash flow" sheetId="11" r:id="rId9"/>
    <sheet name="Constants" sheetId="7" r:id="rId10"/>
  </sheets>
  <definedNames>
    <definedName name="Catalyst_dosing_rate">'Process model'!$D$14</definedName>
    <definedName name="Constant_R">Constants!$M$6</definedName>
    <definedName name="Conv_Overall">'Process model'!$D$7</definedName>
    <definedName name="Conv_SinglePass">'Process model'!$D$15</definedName>
    <definedName name="Cp_H2O">'Equipment sizing'!$I$67</definedName>
    <definedName name="Discount_Rate">'Cash flow'!$D$7</definedName>
    <definedName name="DiscountedPayback">'Cash flow'!$H$9</definedName>
    <definedName name="EqCapacityRangeCheck">'Equipment costs'!$H$5</definedName>
    <definedName name="Equipment_Purchase_Cost">'Equipment costs'!$H$4</definedName>
    <definedName name="Fixed_Capital">CapEx!$D$8</definedName>
    <definedName name="h_per_yr">Constants!$C$9</definedName>
    <definedName name="Income_Tax_Rate">'Cash flow'!$D$6</definedName>
    <definedName name="IRR">'Cash flow'!$H$6</definedName>
    <definedName name="kg_per_t">Constants!$C$6</definedName>
    <definedName name="kPa_per_bar">Constants!$C$10</definedName>
    <definedName name="Length_Polymer">'Process model'!$D$13</definedName>
    <definedName name="Mass_Balance_Tolerance">0.0001</definedName>
    <definedName name="MW_catalyst">'Process model'!$D$89</definedName>
    <definedName name="MW_H2">'Process model'!$D$91</definedName>
    <definedName name="MW_monomer">'Process model'!$D$90</definedName>
    <definedName name="MW_polymer">'Process model'!$D$92</definedName>
    <definedName name="NPV">'Cash flow'!$H$7</definedName>
    <definedName name="OpEx_with_depr">'OpEx &amp; Rev'!$L$7</definedName>
    <definedName name="OpEx_without_depr">'OpEx &amp; Rev'!$L$8</definedName>
    <definedName name="P_ambient">Constants!$H$7</definedName>
    <definedName name="P_Reactor">'Process model'!$D$12</definedName>
    <definedName name="_xlnm.Print_Area" localSheetId="2">Tornado!$A$1:$L$27</definedName>
    <definedName name="Product_Loss">'Process model'!$D$8</definedName>
    <definedName name="Production_Rate">'Process model'!$D$6</definedName>
    <definedName name="Revenue">'OpEx &amp; Rev'!$L$6</definedName>
    <definedName name="s_per_min">Constants!$C$8</definedName>
    <definedName name="s_per_yr">Constants!$C$7</definedName>
    <definedName name="SalvagePercent">'Cash flow'!$D$8</definedName>
    <definedName name="SimplePayback">'Cash flow'!$H$8</definedName>
    <definedName name="T_ambient">Constants!$H$6</definedName>
    <definedName name="T_Basis">"Expected case"</definedName>
    <definedName name="T_Data" localSheetId="2">Tornado!$I$66:$J$75</definedName>
    <definedName name="T_input" localSheetId="2">Tornado!$I$5:$K$14</definedName>
    <definedName name="T_Metric" localSheetId="2">Tornado!$H$64</definedName>
    <definedName name="T_NumberFormat" localSheetId="2">Tornado!$I$61</definedName>
    <definedName name="T_Order" localSheetId="2">Tornado!$I$64</definedName>
    <definedName name="T_Parameters" localSheetId="2">Tornado!$H$5:$H$14</definedName>
    <definedName name="T_Reactor">'Process model'!$D$83</definedName>
    <definedName name="T_refs" localSheetId="2">Tornado!$M$5:$M$14</definedName>
    <definedName name="T_Result" localSheetId="2">Tornado!$J$64</definedName>
    <definedName name="T_Table" localSheetId="2">Tornado!$H$66:$J$75</definedName>
    <definedName name="Total_Capital">CapEx!$H$8</definedName>
    <definedName name="Utilization">Dashboard!$E$6</definedName>
    <definedName name="Working_Capital">CapEx!$H$7</definedName>
  </definedNames>
  <calcPr calcId="171027" calcMode="autoNoTable"/>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53" i="3" l="1"/>
  <c r="N18" i="11" l="1"/>
  <c r="M11" i="13" l="1"/>
  <c r="M9" i="13"/>
  <c r="M10" i="13"/>
  <c r="M12" i="13"/>
  <c r="M6" i="13"/>
  <c r="M7" i="13"/>
  <c r="M5" i="13"/>
  <c r="H9" i="13"/>
  <c r="H10" i="13"/>
  <c r="H8" i="13"/>
  <c r="H5" i="13"/>
  <c r="H7" i="13"/>
  <c r="D8" i="3"/>
  <c r="D12" i="3" l="1"/>
  <c r="M8" i="13" l="1"/>
  <c r="L8" i="13"/>
  <c r="M14" i="13" l="1"/>
  <c r="M13" i="13"/>
  <c r="H64" i="13"/>
  <c r="I64" i="13" s="1"/>
  <c r="I59" i="13"/>
  <c r="I61" i="13"/>
  <c r="D15" i="3" l="1"/>
  <c r="L53" i="9"/>
  <c r="J44" i="9"/>
  <c r="D55" i="9"/>
  <c r="D54" i="9"/>
  <c r="D53" i="9"/>
  <c r="D44" i="9"/>
  <c r="D18" i="3"/>
  <c r="D7" i="3"/>
  <c r="I14" i="3" s="1"/>
  <c r="D14" i="3"/>
  <c r="D6" i="3"/>
  <c r="N65" i="9" l="1"/>
  <c r="N53" i="9"/>
  <c r="N56" i="9" s="1"/>
  <c r="G9" i="9" s="1"/>
  <c r="G7" i="9" l="1"/>
  <c r="L15" i="9" s="1"/>
  <c r="L17" i="9" l="1"/>
  <c r="G10" i="9"/>
  <c r="G13" i="9"/>
  <c r="F8" i="5" l="1"/>
  <c r="G8" i="5"/>
  <c r="H8" i="5"/>
  <c r="F9" i="5"/>
  <c r="G9" i="5"/>
  <c r="H9" i="5"/>
  <c r="E9" i="5"/>
  <c r="E8" i="5"/>
  <c r="I40" i="6" l="1"/>
  <c r="D40" i="6"/>
  <c r="D37" i="6"/>
  <c r="M53" i="3"/>
  <c r="L53" i="3"/>
  <c r="E52" i="3"/>
  <c r="D83" i="3"/>
  <c r="H52" i="3" s="1"/>
  <c r="D55" i="6" s="1"/>
  <c r="D71" i="6" s="1"/>
  <c r="J53" i="3"/>
  <c r="I53" i="3" s="1"/>
  <c r="D57" i="6" s="1"/>
  <c r="D66" i="6" s="1"/>
  <c r="H53" i="3"/>
  <c r="I68" i="6"/>
  <c r="D69" i="6"/>
  <c r="D56" i="6" l="1"/>
  <c r="D65" i="6" s="1"/>
  <c r="D68" i="6" s="1"/>
  <c r="D72" i="6" s="1"/>
  <c r="F52" i="3"/>
  <c r="G52" i="3"/>
  <c r="K52" i="3"/>
  <c r="L52" i="3" s="1"/>
  <c r="M52" i="3" s="1"/>
  <c r="M55" i="3" s="1"/>
  <c r="J52" i="3"/>
  <c r="I56" i="6" s="1"/>
  <c r="I74" i="6" s="1"/>
  <c r="E53" i="3"/>
  <c r="E55" i="3" s="1"/>
  <c r="G53" i="3"/>
  <c r="I37" i="6"/>
  <c r="F53" i="3"/>
  <c r="D92" i="3" l="1"/>
  <c r="D81" i="3"/>
  <c r="D82" i="3" l="1"/>
  <c r="I81" i="3" s="1"/>
  <c r="I52" i="3"/>
  <c r="I55" i="6" s="1"/>
  <c r="I73" i="6" s="1"/>
  <c r="M62" i="3" l="1"/>
  <c r="K62" i="3" s="1"/>
  <c r="L62" i="3" s="1"/>
  <c r="L68" i="3" s="1"/>
  <c r="I83" i="3"/>
  <c r="G61" i="3" s="1"/>
  <c r="I82" i="3"/>
  <c r="I65" i="6"/>
  <c r="I75" i="6"/>
  <c r="M58" i="3" l="1"/>
  <c r="M68" i="3"/>
  <c r="M64" i="3" s="1"/>
  <c r="I89" i="3" s="1"/>
  <c r="I6" i="3" s="1"/>
  <c r="E44" i="9" s="1"/>
  <c r="F44" i="9" s="1"/>
  <c r="F47" i="9" s="1"/>
  <c r="L6" i="9" s="1"/>
  <c r="K68" i="3"/>
  <c r="F60" i="3"/>
  <c r="F66" i="3" s="1"/>
  <c r="G55" i="3"/>
  <c r="M6" i="9" l="1"/>
  <c r="J7" i="12"/>
  <c r="F26" i="11"/>
  <c r="E26" i="11"/>
  <c r="M26" i="11"/>
  <c r="I26" i="11"/>
  <c r="G26" i="11"/>
  <c r="N26" i="11"/>
  <c r="H26" i="11"/>
  <c r="K26" i="11"/>
  <c r="L26" i="11"/>
  <c r="J26" i="11"/>
  <c r="F64" i="3"/>
  <c r="I91" i="3" s="1"/>
  <c r="I8" i="3" s="1"/>
  <c r="F58" i="3"/>
  <c r="J60" i="3"/>
  <c r="J55" i="3" s="1"/>
  <c r="K60" i="3"/>
  <c r="K55" i="3" s="1"/>
  <c r="I33" i="6" s="1"/>
  <c r="F55" i="3"/>
  <c r="G58" i="3"/>
  <c r="G67" i="3"/>
  <c r="E65" i="3"/>
  <c r="D33" i="6" l="1"/>
  <c r="E54" i="9"/>
  <c r="F54" i="9" s="1"/>
  <c r="G64" i="3"/>
  <c r="I92" i="3" s="1"/>
  <c r="I9" i="3" s="1"/>
  <c r="E64" i="3"/>
  <c r="I90" i="3" s="1"/>
  <c r="I7" i="3" s="1"/>
  <c r="I41" i="6"/>
  <c r="I36" i="6" s="1"/>
  <c r="H7" i="6" s="1"/>
  <c r="H10" i="5" s="1"/>
  <c r="H17" i="5" s="1"/>
  <c r="L60" i="3"/>
  <c r="L55" i="3" s="1"/>
  <c r="K66" i="3"/>
  <c r="J66" i="3"/>
  <c r="J64" i="3" s="1"/>
  <c r="J58" i="3"/>
  <c r="I60" i="3"/>
  <c r="I55" i="3" s="1"/>
  <c r="E59" i="3"/>
  <c r="H20" i="5" l="1"/>
  <c r="H26" i="5" s="1"/>
  <c r="E55" i="9"/>
  <c r="F55" i="9" s="1"/>
  <c r="E53" i="9"/>
  <c r="F53" i="9" s="1"/>
  <c r="L66" i="3"/>
  <c r="H60" i="3"/>
  <c r="I66" i="3"/>
  <c r="I64" i="3" s="1"/>
  <c r="I58" i="3"/>
  <c r="E58" i="3"/>
  <c r="K59" i="3"/>
  <c r="H66" i="3" l="1"/>
  <c r="H64" i="3" s="1"/>
  <c r="I10" i="3" s="1"/>
  <c r="H55" i="3"/>
  <c r="I54" i="6"/>
  <c r="I66" i="6" s="1"/>
  <c r="I78" i="6" s="1"/>
  <c r="I60" i="6" s="1"/>
  <c r="G7" i="6" s="1"/>
  <c r="G10" i="5" s="1"/>
  <c r="F56" i="9"/>
  <c r="G6" i="9" s="1"/>
  <c r="H58" i="3"/>
  <c r="L59" i="3"/>
  <c r="K65" i="3"/>
  <c r="K64" i="3" s="1"/>
  <c r="K58" i="3"/>
  <c r="F70" i="3" l="1"/>
  <c r="G20" i="5"/>
  <c r="G26" i="5" s="1"/>
  <c r="G17" i="5"/>
  <c r="I69" i="6"/>
  <c r="I70" i="6" s="1"/>
  <c r="G10" i="6" s="1"/>
  <c r="L45" i="9" s="1"/>
  <c r="N45" i="9" s="1"/>
  <c r="D54" i="6"/>
  <c r="D74" i="6" s="1"/>
  <c r="D75" i="6" s="1"/>
  <c r="D41" i="6"/>
  <c r="L14" i="9"/>
  <c r="L65" i="3"/>
  <c r="L64" i="3" s="1"/>
  <c r="L58" i="3"/>
  <c r="I61" i="6" l="1"/>
  <c r="D64" i="6"/>
  <c r="D36" i="6"/>
  <c r="E7" i="6" s="1"/>
  <c r="E10" i="5" s="1"/>
  <c r="D60" i="6"/>
  <c r="F7" i="6" s="1"/>
  <c r="F10" i="5" s="1"/>
  <c r="D76" i="6"/>
  <c r="F9" i="6" s="1"/>
  <c r="L44" i="9" s="1"/>
  <c r="N44" i="9" s="1"/>
  <c r="N47" i="9" s="1"/>
  <c r="G8" i="9" s="1"/>
  <c r="I70" i="3"/>
  <c r="L70" i="3"/>
  <c r="F20" i="5" l="1"/>
  <c r="F26" i="5" s="1"/>
  <c r="F17" i="5"/>
  <c r="E20" i="5"/>
  <c r="E26" i="5" s="1"/>
  <c r="E17" i="5"/>
  <c r="L16" i="9"/>
  <c r="H5" i="5" l="1"/>
  <c r="H8" i="12" s="1"/>
  <c r="H4" i="5"/>
  <c r="F24" i="8" s="1"/>
  <c r="F27" i="8" s="1"/>
  <c r="F25" i="8" l="1"/>
  <c r="F28" i="8"/>
  <c r="F26" i="8"/>
  <c r="F30" i="8"/>
  <c r="F31" i="8"/>
  <c r="F29" i="8"/>
  <c r="F32" i="8" l="1"/>
  <c r="F38" i="8" s="1"/>
  <c r="D6" i="8" l="1"/>
  <c r="F40" i="8"/>
  <c r="F37" i="8"/>
  <c r="F39" i="8"/>
  <c r="F41" i="8" l="1"/>
  <c r="F46" i="8" s="1"/>
  <c r="F47" i="8" s="1"/>
  <c r="H7" i="8" s="1"/>
  <c r="G21" i="11" s="1"/>
  <c r="I21" i="11" l="1"/>
  <c r="F48" i="8"/>
  <c r="H21" i="11"/>
  <c r="D7" i="8"/>
  <c r="D8" i="8" s="1"/>
  <c r="H32" i="11" s="1"/>
  <c r="M21" i="11"/>
  <c r="E21" i="11"/>
  <c r="N21" i="11"/>
  <c r="F21" i="11"/>
  <c r="K21" i="11"/>
  <c r="J21" i="11"/>
  <c r="L21" i="11"/>
  <c r="G18" i="9" l="1"/>
  <c r="L19" i="9" s="1"/>
  <c r="G12" i="9"/>
  <c r="J19" i="11"/>
  <c r="J17" i="11" s="1"/>
  <c r="N32" i="11"/>
  <c r="F19" i="11"/>
  <c r="F17" i="11" s="1"/>
  <c r="E32" i="11"/>
  <c r="L19" i="11"/>
  <c r="L17" i="11" s="1"/>
  <c r="K19" i="11"/>
  <c r="K17" i="11" s="1"/>
  <c r="M32" i="11"/>
  <c r="L32" i="11"/>
  <c r="H6" i="8"/>
  <c r="H8" i="8" s="1"/>
  <c r="J5" i="12" s="1"/>
  <c r="I54" i="13" s="1"/>
  <c r="I19" i="11"/>
  <c r="I17" i="11" s="1"/>
  <c r="G32" i="11"/>
  <c r="G11" i="9"/>
  <c r="G24" i="9" s="1"/>
  <c r="G19" i="11"/>
  <c r="G17" i="11" s="1"/>
  <c r="N19" i="11"/>
  <c r="N17" i="11" s="1"/>
  <c r="J32" i="11"/>
  <c r="K32" i="11"/>
  <c r="F32" i="11"/>
  <c r="G19" i="9"/>
  <c r="H19" i="11"/>
  <c r="H17" i="11" s="1"/>
  <c r="M19" i="11"/>
  <c r="M17" i="11" s="1"/>
  <c r="E19" i="11"/>
  <c r="E17" i="11" s="1"/>
  <c r="I32" i="11"/>
  <c r="G20" i="9" l="1"/>
  <c r="L7" i="9" s="1"/>
  <c r="J12" i="12" s="1"/>
  <c r="I56" i="13" s="1"/>
  <c r="G21" i="9" l="1"/>
  <c r="L20" i="9" s="1"/>
  <c r="G14" i="9"/>
  <c r="G15" i="9" s="1"/>
  <c r="L18" i="9" s="1"/>
  <c r="G25" i="9"/>
  <c r="L8" i="9"/>
  <c r="J6" i="12" s="1"/>
  <c r="G26" i="9"/>
  <c r="M7" i="9"/>
  <c r="E27" i="11" l="1"/>
  <c r="E24" i="11" s="1"/>
  <c r="E33" i="11" s="1"/>
  <c r="E30" i="11" s="1"/>
  <c r="E36" i="11" s="1"/>
  <c r="G27" i="11"/>
  <c r="G24" i="11" s="1"/>
  <c r="G33" i="11" s="1"/>
  <c r="G30" i="11" s="1"/>
  <c r="G36" i="11" s="1"/>
  <c r="G38" i="11" s="1"/>
  <c r="F27" i="11"/>
  <c r="F24" i="11" s="1"/>
  <c r="F33" i="11" s="1"/>
  <c r="F30" i="11" s="1"/>
  <c r="F36" i="11" s="1"/>
  <c r="H27" i="11"/>
  <c r="H24" i="11" s="1"/>
  <c r="H33" i="11" s="1"/>
  <c r="H30" i="11" s="1"/>
  <c r="H36" i="11" s="1"/>
  <c r="H38" i="11" s="1"/>
  <c r="G27" i="9"/>
  <c r="L21" i="9" s="1"/>
  <c r="L27" i="11"/>
  <c r="L24" i="11" s="1"/>
  <c r="L33" i="11" s="1"/>
  <c r="L30" i="11" s="1"/>
  <c r="L36" i="11" s="1"/>
  <c r="L38" i="11" s="1"/>
  <c r="I27" i="11"/>
  <c r="I24" i="11" s="1"/>
  <c r="I33" i="11" s="1"/>
  <c r="I30" i="11" s="1"/>
  <c r="I36" i="11" s="1"/>
  <c r="I38" i="11" s="1"/>
  <c r="M8" i="9"/>
  <c r="N27" i="11"/>
  <c r="N24" i="11" s="1"/>
  <c r="N33" i="11" s="1"/>
  <c r="N30" i="11" s="1"/>
  <c r="N36" i="11" s="1"/>
  <c r="N38" i="11" s="1"/>
  <c r="M27" i="11"/>
  <c r="M24" i="11" s="1"/>
  <c r="M33" i="11" s="1"/>
  <c r="M30" i="11" s="1"/>
  <c r="M36" i="11" s="1"/>
  <c r="M38" i="11" s="1"/>
  <c r="K27" i="11"/>
  <c r="K24" i="11" s="1"/>
  <c r="K33" i="11" s="1"/>
  <c r="K30" i="11" s="1"/>
  <c r="K36" i="11" s="1"/>
  <c r="K38" i="11" s="1"/>
  <c r="J27" i="11"/>
  <c r="J24" i="11" s="1"/>
  <c r="J33" i="11" s="1"/>
  <c r="J30" i="11" s="1"/>
  <c r="J36" i="11" s="1"/>
  <c r="J38" i="11" s="1"/>
  <c r="H6" i="11" l="1"/>
  <c r="E38" i="11"/>
  <c r="E39" i="11" s="1"/>
  <c r="E37" i="11"/>
  <c r="F38" i="11"/>
  <c r="H7" i="11"/>
  <c r="I53" i="13" l="1"/>
  <c r="I52" i="13"/>
  <c r="F37" i="11"/>
  <c r="F39" i="11"/>
  <c r="F44" i="11" s="1"/>
  <c r="F43" i="11" l="1"/>
  <c r="G39" i="11"/>
  <c r="G44" i="11" s="1"/>
  <c r="G37" i="11"/>
  <c r="G43" i="11" l="1"/>
  <c r="H39" i="11"/>
  <c r="H37" i="11"/>
  <c r="H43" i="11" s="1"/>
  <c r="H44" i="11" l="1"/>
  <c r="I39" i="11"/>
  <c r="I37" i="11"/>
  <c r="I43" i="11" s="1"/>
  <c r="I44" i="11" l="1"/>
  <c r="J39" i="11"/>
  <c r="J37" i="11"/>
  <c r="J43" i="11" s="1"/>
  <c r="J44" i="11" l="1"/>
  <c r="K39" i="11"/>
  <c r="K44" i="11" s="1"/>
  <c r="K37" i="11"/>
  <c r="K43" i="11" s="1"/>
  <c r="L39" i="11" l="1"/>
  <c r="L37" i="11"/>
  <c r="L44" i="11" l="1"/>
  <c r="L43" i="11"/>
  <c r="M39" i="11"/>
  <c r="M44" i="11" s="1"/>
  <c r="M37" i="11"/>
  <c r="M43" i="11" s="1"/>
  <c r="N39" i="11" l="1"/>
  <c r="N37" i="11"/>
  <c r="N43" i="11" l="1"/>
  <c r="N44" i="11"/>
  <c r="J42" i="11" l="1"/>
  <c r="H9" i="11" s="1"/>
  <c r="F42" i="11"/>
  <c r="H8" i="11" s="1"/>
  <c r="J13" i="12" s="1"/>
  <c r="I55" i="13" l="1"/>
  <c r="I60" i="13" s="1"/>
  <c r="J64" i="13" s="1"/>
</calcChain>
</file>

<file path=xl/comments1.xml><?xml version="1.0" encoding="utf-8"?>
<comments xmlns="http://schemas.openxmlformats.org/spreadsheetml/2006/main">
  <authors>
    <author>Chris Burk</author>
  </authors>
  <commentList>
    <comment ref="B22" authorId="0" shapeId="0">
      <text>
        <r>
          <rPr>
            <sz val="9"/>
            <color indexed="81"/>
            <rFont val="Tahoma"/>
            <family val="2"/>
          </rPr>
          <t>TRL stands for 'Technology Readiness Level'. TRLs are  widely used for qualifying the maturity of new  technologies. TRL definitions relevant to various industries are available online.</t>
        </r>
      </text>
    </comment>
  </commentList>
</comments>
</file>

<file path=xl/comments2.xml><?xml version="1.0" encoding="utf-8"?>
<comments xmlns="http://schemas.openxmlformats.org/spreadsheetml/2006/main">
  <authors>
    <author>Chris Burk</author>
  </authors>
  <commentList>
    <comment ref="E7" authorId="0" shapeId="0">
      <text>
        <r>
          <rPr>
            <sz val="9"/>
            <color indexed="81"/>
            <rFont val="Tahoma"/>
            <family val="2"/>
          </rPr>
          <t>The fraction of monomer ultimately converted to polymer in the system through multiple cycles through the reactor.</t>
        </r>
      </text>
    </comment>
    <comment ref="E12" authorId="0" shapeId="0">
      <text>
        <r>
          <rPr>
            <sz val="9"/>
            <color indexed="81"/>
            <rFont val="Tahoma"/>
            <family val="2"/>
          </rPr>
          <t>The fraction of monomer that is converted to polymer in a single pass through the reactor.</t>
        </r>
      </text>
    </comment>
  </commentList>
</comments>
</file>

<file path=xl/sharedStrings.xml><?xml version="1.0" encoding="utf-8"?>
<sst xmlns="http://schemas.openxmlformats.org/spreadsheetml/2006/main" count="662" uniqueCount="384">
  <si>
    <t>-</t>
  </si>
  <si>
    <t>Production rate</t>
  </si>
  <si>
    <t>in</t>
  </si>
  <si>
    <t>t/yr</t>
  </si>
  <si>
    <t>Stream</t>
  </si>
  <si>
    <t>In / Out</t>
  </si>
  <si>
    <t>out</t>
  </si>
  <si>
    <t xml:space="preserve"> </t>
  </si>
  <si>
    <t>Phase</t>
  </si>
  <si>
    <t>Temperature</t>
  </si>
  <si>
    <t>degC</t>
  </si>
  <si>
    <t>Pressure</t>
  </si>
  <si>
    <t>bar</t>
  </si>
  <si>
    <t>m3</t>
  </si>
  <si>
    <t>Overall:</t>
  </si>
  <si>
    <t>Process model</t>
  </si>
  <si>
    <t>Description</t>
  </si>
  <si>
    <t>Catalyst</t>
  </si>
  <si>
    <t>Monomer</t>
  </si>
  <si>
    <t>Hydrogen</t>
  </si>
  <si>
    <t>Catalyst feed</t>
  </si>
  <si>
    <t>Monomer feed</t>
  </si>
  <si>
    <t>Raw  product</t>
  </si>
  <si>
    <t>kg/s</t>
  </si>
  <si>
    <t>solid</t>
  </si>
  <si>
    <t>gas</t>
  </si>
  <si>
    <t xml:space="preserve"> solid &amp; gas</t>
  </si>
  <si>
    <t xml:space="preserve">Monomer </t>
  </si>
  <si>
    <t>Polymer</t>
  </si>
  <si>
    <t>Mole flow rate</t>
  </si>
  <si>
    <t>Mass flow rate</t>
  </si>
  <si>
    <t>kg/t</t>
  </si>
  <si>
    <t>s/yr</t>
  </si>
  <si>
    <t>s</t>
  </si>
  <si>
    <t>g/mol</t>
  </si>
  <si>
    <t>kmol/s</t>
  </si>
  <si>
    <t>Molecular weights</t>
  </si>
  <si>
    <t>kg/kg monomer</t>
  </si>
  <si>
    <t>Reactor sizing</t>
  </si>
  <si>
    <t>Gas flow rate</t>
  </si>
  <si>
    <t>K</t>
  </si>
  <si>
    <t>Ideal gas constant</t>
  </si>
  <si>
    <t>m3-bar/(kmol-K)</t>
  </si>
  <si>
    <t>m3/s</t>
  </si>
  <si>
    <t>Reactor volume</t>
  </si>
  <si>
    <t>Residence time</t>
  </si>
  <si>
    <t>min</t>
  </si>
  <si>
    <t>s/min</t>
  </si>
  <si>
    <t>Separation vessel sizing</t>
  </si>
  <si>
    <t>Flow rate</t>
  </si>
  <si>
    <t>Inlet pressure</t>
  </si>
  <si>
    <t>Inlet temperature</t>
  </si>
  <si>
    <t>Efficiency</t>
  </si>
  <si>
    <t>kW</t>
  </si>
  <si>
    <t>Results summary</t>
  </si>
  <si>
    <t>Electrical power</t>
  </si>
  <si>
    <t>γ/(γ-1)</t>
  </si>
  <si>
    <t>Compression ratio</t>
  </si>
  <si>
    <t>kPa</t>
  </si>
  <si>
    <t>Fluid power</t>
  </si>
  <si>
    <t>kPa/bar</t>
  </si>
  <si>
    <t>Outlet temperature</t>
  </si>
  <si>
    <t>Calculations</t>
  </si>
  <si>
    <t>Heat exchanger</t>
  </si>
  <si>
    <t>Gas volume flow rate</t>
  </si>
  <si>
    <t>Temperature in</t>
  </si>
  <si>
    <t>Temperature out</t>
  </si>
  <si>
    <t>kJ/(kmol-K)</t>
  </si>
  <si>
    <t>Heat transfer coefficient</t>
  </si>
  <si>
    <t>kJ/(kg-K)</t>
  </si>
  <si>
    <t>Fouling factor</t>
  </si>
  <si>
    <t>Heat transfer area</t>
  </si>
  <si>
    <t>m2</t>
  </si>
  <si>
    <t>Capacity</t>
  </si>
  <si>
    <t>Cooling water flow rate calculation</t>
  </si>
  <si>
    <t>Heat transfer area calculation</t>
  </si>
  <si>
    <t>Cooling water flow</t>
  </si>
  <si>
    <t>Equipment sizing</t>
  </si>
  <si>
    <t>Reactor temperature</t>
  </si>
  <si>
    <t>Recycle A</t>
  </si>
  <si>
    <t>Recycle B</t>
  </si>
  <si>
    <t>Reactor:</t>
  </si>
  <si>
    <t>Separator:</t>
  </si>
  <si>
    <t>Pressure drop</t>
  </si>
  <si>
    <t>Reactor</t>
  </si>
  <si>
    <t>Single pass conversion</t>
  </si>
  <si>
    <t>Overall conversion</t>
  </si>
  <si>
    <t>Polymer length</t>
  </si>
  <si>
    <t xml:space="preserve">monomer units </t>
  </si>
  <si>
    <t>Reaction parameters</t>
  </si>
  <si>
    <t>Catalyst dosing</t>
  </si>
  <si>
    <t>General process parameters</t>
  </si>
  <si>
    <t>Recycle return</t>
  </si>
  <si>
    <t>Product</t>
  </si>
  <si>
    <t>Vent to flare</t>
  </si>
  <si>
    <t>Reaction rates</t>
  </si>
  <si>
    <t xml:space="preserve">General </t>
  </si>
  <si>
    <t>Mass balances checks</t>
  </si>
  <si>
    <t>Outlet pressure</t>
  </si>
  <si>
    <t>Inlet volume rate</t>
  </si>
  <si>
    <t>Process heat capacity</t>
  </si>
  <si>
    <t>Cooling duty</t>
  </si>
  <si>
    <t>Power calculation</t>
  </si>
  <si>
    <t>kW/(m2-K)</t>
  </si>
  <si>
    <t>Separation vessel</t>
  </si>
  <si>
    <t>Process temperature change</t>
  </si>
  <si>
    <t>Temp. change, side 1</t>
  </si>
  <si>
    <t>Temp. change, side 2</t>
  </si>
  <si>
    <t>Log mean temp. difference</t>
  </si>
  <si>
    <t>Cooling water heat capacity</t>
  </si>
  <si>
    <t>Cooling water temp. change</t>
  </si>
  <si>
    <t>Cooling water flow rate</t>
  </si>
  <si>
    <t>Heat capacity ratio, γ</t>
  </si>
  <si>
    <t>Cooling water supply temp.</t>
  </si>
  <si>
    <t>Cooling water return temp.</t>
  </si>
  <si>
    <t>Volume</t>
  </si>
  <si>
    <t>Capacity units</t>
  </si>
  <si>
    <t>Cooling water</t>
  </si>
  <si>
    <t>Capacity parameter</t>
  </si>
  <si>
    <t>Compressor</t>
  </si>
  <si>
    <t>Power</t>
  </si>
  <si>
    <t>Area</t>
  </si>
  <si>
    <t>Vessel volume</t>
  </si>
  <si>
    <t>Compressor sizing</t>
  </si>
  <si>
    <t>Heat exchanger sizing</t>
  </si>
  <si>
    <t>MOC</t>
  </si>
  <si>
    <t>Scaling exponent</t>
  </si>
  <si>
    <t>SS316</t>
  </si>
  <si>
    <t>Reference capacity</t>
  </si>
  <si>
    <t>Reference purchased cost</t>
  </si>
  <si>
    <t>Scaled purchased cost in reference year</t>
  </si>
  <si>
    <t>Scaled purchased cost in estimate year</t>
  </si>
  <si>
    <t>Estimate year</t>
  </si>
  <si>
    <t>CE plant cost index in reference year</t>
  </si>
  <si>
    <t>CE plant cost index in estimate year</t>
  </si>
  <si>
    <t>Reference year</t>
  </si>
  <si>
    <t>Working capital</t>
  </si>
  <si>
    <t>Total</t>
  </si>
  <si>
    <t>Equipment purchase</t>
  </si>
  <si>
    <t>Installation</t>
  </si>
  <si>
    <t>Contingency</t>
  </si>
  <si>
    <t>Cost</t>
  </si>
  <si>
    <t>Engineering and supervision</t>
  </si>
  <si>
    <t>Direct costs</t>
  </si>
  <si>
    <t>Indirect costs</t>
  </si>
  <si>
    <t>Instrumentation &amp; controls</t>
  </si>
  <si>
    <t>Piping, installed</t>
  </si>
  <si>
    <t>Land</t>
  </si>
  <si>
    <t>Legal expenses</t>
  </si>
  <si>
    <t>Total direct costs</t>
  </si>
  <si>
    <t>Total indirect costs</t>
  </si>
  <si>
    <t>Cost relative to Total Direct Costs</t>
  </si>
  <si>
    <t>Construction expense &amp; contractor's fee</t>
  </si>
  <si>
    <t>Total capital</t>
  </si>
  <si>
    <t>Fixed capital</t>
  </si>
  <si>
    <t>Service facilities &amp; yard improvements</t>
  </si>
  <si>
    <t>25-55% typical</t>
  </si>
  <si>
    <t>8-50% typical</t>
  </si>
  <si>
    <t>10-80% typical</t>
  </si>
  <si>
    <t>10-40% typical</t>
  </si>
  <si>
    <t>10-70% typical</t>
  </si>
  <si>
    <t>40-100% typical</t>
  </si>
  <si>
    <t>4-8% typical</t>
  </si>
  <si>
    <t>1-5% typical</t>
  </si>
  <si>
    <t>10-30% typical</t>
  </si>
  <si>
    <t>5-25% typical</t>
  </si>
  <si>
    <t>Capital cost component settings and calculations</t>
  </si>
  <si>
    <t>10-20% typical</t>
  </si>
  <si>
    <t>Cost relative to Fixed Capital</t>
  </si>
  <si>
    <t>Cost relative to Equipment Purchase</t>
  </si>
  <si>
    <t>Operating cost and revenue estimation</t>
  </si>
  <si>
    <t>This page estimates plant operating costs and revenue based on the stream table, equipment list, and user input.</t>
  </si>
  <si>
    <t>Operating costs</t>
  </si>
  <si>
    <t>Raw materials</t>
  </si>
  <si>
    <t>Utilities</t>
  </si>
  <si>
    <t>Labor</t>
  </si>
  <si>
    <t>Waste treatment</t>
  </si>
  <si>
    <t>Revenue</t>
  </si>
  <si>
    <t>Operating cost component settings &amp; calculations</t>
  </si>
  <si>
    <t>Products</t>
  </si>
  <si>
    <t>h/yr</t>
  </si>
  <si>
    <t>Waste</t>
  </si>
  <si>
    <t>kW-h/yr</t>
  </si>
  <si>
    <t>/kW-h</t>
  </si>
  <si>
    <t>/MT</t>
  </si>
  <si>
    <t>Operations</t>
  </si>
  <si>
    <t>FTE</t>
  </si>
  <si>
    <t>/t</t>
  </si>
  <si>
    <t>/yr</t>
  </si>
  <si>
    <t>$/t</t>
  </si>
  <si>
    <t>$/yr</t>
  </si>
  <si>
    <t>/(FTE/yr)</t>
  </si>
  <si>
    <t>1.  Variable costs</t>
  </si>
  <si>
    <t>a.  Raw materials</t>
  </si>
  <si>
    <t>b.  Waste treatment</t>
  </si>
  <si>
    <t>c.  Utilities</t>
  </si>
  <si>
    <t>d.  Operating labor</t>
  </si>
  <si>
    <t>f.  Maintenance &amp; repairs</t>
  </si>
  <si>
    <t>g.  Operating supplies</t>
  </si>
  <si>
    <t>h.  Laboratory Charges</t>
  </si>
  <si>
    <t>Total variables costs</t>
  </si>
  <si>
    <t>2.  Fixed costs</t>
  </si>
  <si>
    <t>a.  Depreciation</t>
  </si>
  <si>
    <t>b.  Local taxes &amp; insurance</t>
  </si>
  <si>
    <t>Total Fixed costs</t>
  </si>
  <si>
    <t>3.  General costs</t>
  </si>
  <si>
    <t>c.  Research &amp; development</t>
  </si>
  <si>
    <t>Total general costs</t>
  </si>
  <si>
    <t>i.  Patents &amp; royalties</t>
  </si>
  <si>
    <t xml:space="preserve">b.  Distribution &amp; marketing </t>
  </si>
  <si>
    <t>a.  Administrative</t>
  </si>
  <si>
    <t>c.  Plant overhead</t>
  </si>
  <si>
    <t>e.  Supervisory &amp; clerical labor</t>
  </si>
  <si>
    <t>[none listed]</t>
  </si>
  <si>
    <t>Operating labor</t>
  </si>
  <si>
    <t>Other variable costs</t>
  </si>
  <si>
    <t>General costs</t>
  </si>
  <si>
    <t>Data for graphing</t>
  </si>
  <si>
    <t>Estimated as…</t>
  </si>
  <si>
    <t>of operating labor</t>
  </si>
  <si>
    <t>of fixed capital</t>
  </si>
  <si>
    <t>of total operating cost</t>
  </si>
  <si>
    <t>of (Line 1d + 1e + 1f)</t>
  </si>
  <si>
    <t>5-20% typical</t>
  </si>
  <si>
    <t>Gross profit</t>
  </si>
  <si>
    <t>Net profit</t>
  </si>
  <si>
    <t>Profitability metrics</t>
  </si>
  <si>
    <t>Payback period</t>
  </si>
  <si>
    <t>years</t>
  </si>
  <si>
    <t>Cash flow analysis</t>
  </si>
  <si>
    <t>This page performs a discounted cash flow analysis.</t>
  </si>
  <si>
    <t>User input</t>
  </si>
  <si>
    <t>Income tax rate</t>
  </si>
  <si>
    <t>IRR</t>
  </si>
  <si>
    <t>Discount rate</t>
  </si>
  <si>
    <t>NPV</t>
  </si>
  <si>
    <t>MM USD</t>
  </si>
  <si>
    <t>Year</t>
  </si>
  <si>
    <t>Capital outlay</t>
  </si>
  <si>
    <t>Operating rate</t>
  </si>
  <si>
    <t>Depreciation</t>
  </si>
  <si>
    <t>Schedule</t>
  </si>
  <si>
    <t>Taxable income</t>
  </si>
  <si>
    <t>Cash flow</t>
  </si>
  <si>
    <t>Cumulative</t>
  </si>
  <si>
    <t>Discounted cash flow</t>
  </si>
  <si>
    <t>Cum. disc. cash flow</t>
  </si>
  <si>
    <t>Fixed and total capital cost estimation</t>
  </si>
  <si>
    <t>Stream table / material balance</t>
  </si>
  <si>
    <t>Important flow rates</t>
  </si>
  <si>
    <t>Important rates</t>
  </si>
  <si>
    <t>Equipment purchased cost estimation</t>
  </si>
  <si>
    <t>Total equipment purchased cost</t>
  </si>
  <si>
    <t>Summary</t>
  </si>
  <si>
    <t>Process parameters</t>
  </si>
  <si>
    <t>Financial results</t>
  </si>
  <si>
    <t>/kWh</t>
  </si>
  <si>
    <t>Techno-economic model - Polymer synthesis</t>
  </si>
  <si>
    <t>Reactor pressure</t>
  </si>
  <si>
    <t>Reactor pressure drop</t>
  </si>
  <si>
    <t>of monomer</t>
  </si>
  <si>
    <t>Polymer product</t>
  </si>
  <si>
    <t>Cost per operator</t>
  </si>
  <si>
    <t>MM</t>
  </si>
  <si>
    <t>Constants &amp; misc.</t>
  </si>
  <si>
    <t>Constants</t>
  </si>
  <si>
    <t>Conversion factors</t>
  </si>
  <si>
    <t>Mass</t>
  </si>
  <si>
    <t>Time</t>
  </si>
  <si>
    <t>This page uses user input and material balance calculations to develop a stream table for the polymer synthesis process.</t>
  </si>
  <si>
    <t>This page uses values from the stream table to calculate the parameters necessary for estimating equipment and utility costs.</t>
  </si>
  <si>
    <t xml:space="preserve">This page uses equipment sizing data to estimate equipment purchased cost based on known references. </t>
  </si>
  <si>
    <t>This page estimates fixed and total capital investment by applying multiplication factors to equipment purchased cost.</t>
  </si>
  <si>
    <t>Recycle rate</t>
  </si>
  <si>
    <t>Electrical systems, installed</t>
  </si>
  <si>
    <t>Buildings (including services)</t>
  </si>
  <si>
    <t>This is a model for a new super-polymer synthesis method.</t>
  </si>
  <si>
    <t>Ambient conditions</t>
  </si>
  <si>
    <t>Hydrogen feed</t>
  </si>
  <si>
    <t>Tornado diagram sensitivity analysis</t>
  </si>
  <si>
    <t>Settings</t>
  </si>
  <si>
    <t>Worst</t>
  </si>
  <si>
    <t>Expected</t>
  </si>
  <si>
    <t>Best</t>
  </si>
  <si>
    <t>Units</t>
  </si>
  <si>
    <t>Reference</t>
  </si>
  <si>
    <t>Metric:</t>
  </si>
  <si>
    <t>User instructions:</t>
  </si>
  <si>
    <t>1.  In 'Settings' table, enter best-case, expected-case, and worst-case values for each parameter.</t>
  </si>
  <si>
    <t>2.  Select output metric from drop down menu below table.</t>
  </si>
  <si>
    <t>3.  Click 'Refresh Tornado' button.</t>
  </si>
  <si>
    <t>4.  Customize chart format if desired.</t>
  </si>
  <si>
    <t>Software Copyright 2017 Burk Engineering LLC</t>
  </si>
  <si>
    <t>Tornado data &amp; settings</t>
  </si>
  <si>
    <t>Results</t>
  </si>
  <si>
    <t>Higher = better</t>
  </si>
  <si>
    <t>NPV, MMUSD</t>
  </si>
  <si>
    <t>Total capital, MMUSD</t>
  </si>
  <si>
    <t>Use: Index</t>
  </si>
  <si>
    <t>Value</t>
  </si>
  <si>
    <t>Format</t>
  </si>
  <si>
    <t>Metric</t>
  </si>
  <si>
    <t>Input</t>
  </si>
  <si>
    <t xml:space="preserve">Low </t>
  </si>
  <si>
    <t>High</t>
  </si>
  <si>
    <t>Catalyst price</t>
  </si>
  <si>
    <t>Monomer price</t>
  </si>
  <si>
    <t>Operator cost</t>
  </si>
  <si>
    <t>/kg product</t>
  </si>
  <si>
    <t>Costs</t>
  </si>
  <si>
    <t>Utilization</t>
  </si>
  <si>
    <t>Separation yield</t>
  </si>
  <si>
    <t>Overall conversion (reactor yield)</t>
  </si>
  <si>
    <t>CapEx</t>
  </si>
  <si>
    <t>All-in cost</t>
  </si>
  <si>
    <t>Simple payback</t>
  </si>
  <si>
    <t>Discounted payback</t>
  </si>
  <si>
    <t>Payback calculation</t>
  </si>
  <si>
    <t>$/kg product</t>
  </si>
  <si>
    <t>Other fixed costs</t>
  </si>
  <si>
    <t>OpEx less depreciation</t>
  </si>
  <si>
    <t>Polymer price</t>
  </si>
  <si>
    <t>Simple payback, years</t>
  </si>
  <si>
    <t>Process results</t>
  </si>
  <si>
    <t>Process flow diagram</t>
  </si>
  <si>
    <t>Overall yield</t>
  </si>
  <si>
    <t>Important assumptions</t>
  </si>
  <si>
    <t>To evaluate Plastic Co.'s improved SuperSpin polymer synthesis process for further R&amp;D and scale-up investment.</t>
  </si>
  <si>
    <t>Factored major equipment cost estimate based on material balance</t>
  </si>
  <si>
    <t>Method</t>
  </si>
  <si>
    <t>Expected accuracy</t>
  </si>
  <si>
    <t>Factored estimate based on material balance and CapEx</t>
  </si>
  <si>
    <t>TRL 5 - Complete process has been demonstrated at the laboratory scale.</t>
  </si>
  <si>
    <t>Process description</t>
  </si>
  <si>
    <t>References</t>
  </si>
  <si>
    <t>State of development</t>
  </si>
  <si>
    <t>Documentation</t>
  </si>
  <si>
    <t>Version</t>
  </si>
  <si>
    <t>Primary developer</t>
  </si>
  <si>
    <t>Date</t>
  </si>
  <si>
    <t>Name</t>
  </si>
  <si>
    <t>Purpose</t>
  </si>
  <si>
    <t>Checked/approved by</t>
  </si>
  <si>
    <t>Monomer gas, hydrogen gas, and solid catalyst are the only raw materials for the process. Monomer and hydrogen gas are fed to a reactor which is at elevated temperature and pressure (approx. 80C and 5bar). The reactor contains a fluidized bed of catalyst particles. The monomer and hydrogen react to form solid polymer, which is continuously removed from the bottom of the reactor. Unreacted monomer and hydrogen are continuously recycled using a compressor. A water-cooled heat exchanger on the recycle line removes excess heat from compression. Downstream of the reactor, the polymer product is separated from any remaining monomer and hydrogen.</t>
  </si>
  <si>
    <t>Scope of estimate</t>
  </si>
  <si>
    <t>Min allowable capacity for correlation</t>
  </si>
  <si>
    <t>Max allowable capacity for correlation</t>
  </si>
  <si>
    <t>Capacity within allowable range</t>
  </si>
  <si>
    <t>All capacities within acceptable range</t>
  </si>
  <si>
    <t>Polymerization catalyst, Reactor</t>
  </si>
  <si>
    <t>1.3</t>
  </si>
  <si>
    <t>SuperSpin 2.0 - Techno-economic model</t>
  </si>
  <si>
    <t>Key innovation(s)</t>
  </si>
  <si>
    <t>4. OpEx estimation approach</t>
  </si>
  <si>
    <t>3. CapEx estimation approach</t>
  </si>
  <si>
    <t>1. Model info</t>
  </si>
  <si>
    <t>2. Technology modeling approach</t>
  </si>
  <si>
    <t xml:space="preserve">All user input cells are shaded grey. Users should feel free to modify these values, however, entering certain values or combinations of values may result in unrealistic results. The user should contact the developer if they have concerns about the validity of input values or results. </t>
  </si>
  <si>
    <t>User input modification</t>
  </si>
  <si>
    <t>Vendor quotes for monomer, hydrogen, and catalyst raw materials
Operating data for existing SuperSpin 1.0 Plant
Plant Design and Economics for Chemical Engineers (Fifth Edition), by Peters, Timmerhaus, and West</t>
  </si>
  <si>
    <t>Quote for Reactor Vessel from fabricator (#123456)
Cost breakdown data from construction of SuperSpin 1.0 Plant in 2014
Plant Design and Economics for Chemical Engineers (Fifth Edition), by Peters, Timmerhaus, and West</t>
  </si>
  <si>
    <t>5. Overall model structure</t>
  </si>
  <si>
    <t>This page provides information about the model  - including important cost estimation techniques, important assumptions, and model structure.</t>
  </si>
  <si>
    <t>Reference source</t>
  </si>
  <si>
    <t>quote</t>
  </si>
  <si>
    <t>previous plant</t>
  </si>
  <si>
    <t>OpEx w/ depreciation</t>
  </si>
  <si>
    <t>OpEx w/out depreciation</t>
  </si>
  <si>
    <t>Energy for heating monomer, hydrogen, and catalyst feed streams is provided by heat produced by the polymerization reaction.
Recycle stream leaves heat exchanger at  reactor temperature.
It is unnecessary to separate remaining solid catalyst from product.
All hydrogen feed reacts. (Polymer length is controlled by the amount of hydrogen fed to reactor.)
Monomer supply, hydrogen supply, catalyst supply, and product storage are available on site.</t>
  </si>
  <si>
    <t>Estimate includes installation of the process plant at an exiting facility, which already has auxiliary buildings, utilities, raw material supply, and product storage available.</t>
  </si>
  <si>
    <t>- 30% to +40%</t>
  </si>
  <si>
    <t>of FCI</t>
  </si>
  <si>
    <t>Salvage value</t>
  </si>
  <si>
    <t>Ni</t>
  </si>
  <si>
    <t>Note: References costs have been adjusted for demonstration purposes and are not necessarily realistic.</t>
  </si>
  <si>
    <t>Separation pressure</t>
  </si>
  <si>
    <t>Note from Cyclotron Road</t>
  </si>
  <si>
    <t>This model accompanies the screencast series 'Techonomics - Introduction to Cost Modeling in Excel'. The purpose of the series is to (1) educate innovators about cost modeling and (2) provide templates to help innovators start developing their own models. The best practices and techniques demonstrated are realistic, however, the exact numbers and example chemical/manufacturing processes may not be.</t>
  </si>
  <si>
    <t xml:space="preserve">This model was developed by Chris Burk of Burk Engineering LLC. Chris is a chemical engineer and an independent consultant. He works with companies that are developing or investing in new process-related technologies - helping them connect science, engineering, and business through techno-economic modeling.
</t>
  </si>
  <si>
    <r>
      <rPr>
        <sz val="10"/>
        <color theme="1" tint="0.34998626667073579"/>
        <rFont val="Calibri Light"/>
        <family val="2"/>
        <scheme val="major"/>
      </rPr>
      <t xml:space="preserve">Chris Burk PE  |  cburk@BurkEngineeringLLC.com  |  </t>
    </r>
    <r>
      <rPr>
        <u/>
        <sz val="10"/>
        <color theme="1" tint="0.34998626667073579"/>
        <rFont val="Calibri Light"/>
        <family val="2"/>
        <scheme val="major"/>
      </rPr>
      <t>www.BurkEngineeringLLC.com</t>
    </r>
  </si>
  <si>
    <t>J. Doe  /  Plastic Co.  /  jdoe@PlasticCo.com</t>
  </si>
  <si>
    <t>R. Doe  /  Plastic Co.</t>
  </si>
  <si>
    <t>This page contains constants that are used throughout the model.</t>
  </si>
  <si>
    <t>All-in cost , $/kg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</si>
</sst>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6" formatCode="&quot;$&quot;#,##0_);[Red]\(&quot;$&quot;#,##0\)"/>
    <numFmt numFmtId="8" formatCode="&quot;$&quot;#,##0.00_);[Red]\(&quot;$&quot;#,##0.00\)"/>
    <numFmt numFmtId="164" formatCode="#,##0.0"/>
    <numFmt numFmtId="165" formatCode="0.0"/>
    <numFmt numFmtId="166" formatCode="0.000"/>
    <numFmt numFmtId="167" formatCode="0.0%"/>
    <numFmt numFmtId="168" formatCode="&quot;$&quot;#,##0"/>
    <numFmt numFmtId="169" formatCode="&quot;$&quot;#,##0.00"/>
    <numFmt numFmtId="170" formatCode="#,##0.0000"/>
  </numFmts>
  <fonts count="57" x14ac:knownFonts="1">
    <font>
      <sz val="11"/>
      <color theme="1"/>
      <name val="Calibri"/>
      <family val="2"/>
      <scheme val="minor"/>
    </font>
    <font>
      <i/>
      <sz val="14"/>
      <color theme="9"/>
      <name val="Calibri"/>
      <family val="2"/>
      <scheme val="minor"/>
    </font>
    <font>
      <b/>
      <sz val="11"/>
      <color theme="4"/>
      <name val="Calibri"/>
      <family val="2"/>
      <scheme val="minor"/>
    </font>
    <font>
      <b/>
      <sz val="13"/>
      <color theme="0"/>
      <name val="Calibri"/>
      <family val="2"/>
    </font>
    <font>
      <sz val="12"/>
      <color theme="2" tint="-0.499984740745262"/>
      <name val="Calibri"/>
      <family val="2"/>
      <scheme val="minor"/>
    </font>
    <font>
      <sz val="20"/>
      <color theme="1" tint="0.249977111117893"/>
      <name val="Calibri Light"/>
      <family val="2"/>
      <scheme val="major"/>
    </font>
    <font>
      <sz val="11"/>
      <name val="Calibri"/>
      <family val="2"/>
      <scheme val="minor"/>
    </font>
    <font>
      <sz val="11"/>
      <color theme="3"/>
      <name val="Calibri"/>
      <family val="2"/>
    </font>
    <font>
      <sz val="14"/>
      <color theme="1" tint="0.499984740745262"/>
      <name val="Calibri Light"/>
      <family val="2"/>
      <scheme val="major"/>
    </font>
    <font>
      <sz val="11"/>
      <name val="Calibri"/>
      <family val="2"/>
    </font>
    <font>
      <sz val="11"/>
      <color theme="1" tint="0.499984740745262"/>
      <name val="Calibri"/>
      <family val="2"/>
      <scheme val="minor"/>
    </font>
    <font>
      <b/>
      <sz val="11"/>
      <color theme="1" tint="0.24994659260841701"/>
      <name val="Calibri"/>
      <family val="2"/>
    </font>
    <font>
      <b/>
      <sz val="11"/>
      <color theme="5" tint="-0.249977111117893"/>
      <name val="Calibri"/>
      <family val="2"/>
      <scheme val="minor"/>
    </font>
    <font>
      <sz val="18"/>
      <color theme="1" tint="0.499984740745262"/>
      <name val="Calibri Light"/>
      <family val="2"/>
      <scheme val="major"/>
    </font>
    <font>
      <sz val="12"/>
      <color theme="4"/>
      <name val="Calibri"/>
      <family val="2"/>
      <scheme val="minor"/>
    </font>
    <font>
      <sz val="11"/>
      <color theme="1"/>
      <name val="Calibri"/>
      <family val="2"/>
    </font>
    <font>
      <sz val="13"/>
      <color theme="3"/>
      <name val="Calibri"/>
      <family val="2"/>
    </font>
    <font>
      <i/>
      <sz val="11"/>
      <color theme="3"/>
      <name val="Calibri"/>
      <family val="2"/>
    </font>
    <font>
      <b/>
      <sz val="10"/>
      <color theme="0"/>
      <name val="Calibri"/>
      <family val="2"/>
    </font>
    <font>
      <b/>
      <sz val="11"/>
      <color theme="3"/>
      <name val="Calibri"/>
      <family val="2"/>
    </font>
    <font>
      <sz val="16"/>
      <color rgb="FF0070C0"/>
      <name val="Calibri Light"/>
      <family val="2"/>
      <scheme val="major"/>
    </font>
    <font>
      <sz val="16"/>
      <color rgb="FF0070C0"/>
      <name val="Calibri"/>
      <family val="2"/>
      <scheme val="minor"/>
    </font>
    <font>
      <sz val="14"/>
      <color theme="1" tint="0.499984740745262"/>
      <name val="Calibri"/>
      <family val="2"/>
      <scheme val="minor"/>
    </font>
    <font>
      <sz val="14"/>
      <color theme="1"/>
      <name val="Calibri"/>
      <family val="2"/>
      <scheme val="minor"/>
    </font>
    <font>
      <i/>
      <sz val="14"/>
      <color theme="1" tint="0.499984740745262"/>
      <name val="Calibri Light"/>
      <family val="2"/>
      <scheme val="major"/>
    </font>
    <font>
      <sz val="14"/>
      <color theme="5" tint="-0.249977111117893"/>
      <name val="Calibri Light"/>
      <family val="2"/>
      <scheme val="major"/>
    </font>
    <font>
      <b/>
      <sz val="11"/>
      <color theme="1"/>
      <name val="Calibri"/>
      <family val="2"/>
      <scheme val="minor"/>
    </font>
    <font>
      <sz val="12"/>
      <color theme="1" tint="0.249977111117893"/>
      <name val="Calibri Light"/>
      <family val="2"/>
      <scheme val="major"/>
    </font>
    <font>
      <sz val="18"/>
      <color theme="5" tint="-0.249977111117893"/>
      <name val="Calibri Light"/>
      <family val="2"/>
      <scheme val="major"/>
    </font>
    <font>
      <i/>
      <sz val="16"/>
      <color theme="1" tint="0.499984740745262"/>
      <name val="Calibri Light"/>
      <family val="2"/>
      <scheme val="major"/>
    </font>
    <font>
      <sz val="11"/>
      <color theme="5" tint="-0.249977111117893"/>
      <name val="Calibri"/>
      <family val="2"/>
      <scheme val="minor"/>
    </font>
    <font>
      <sz val="14"/>
      <color theme="5" tint="-0.249977111117893"/>
      <name val="Calibri"/>
      <family val="2"/>
      <scheme val="minor"/>
    </font>
    <font>
      <sz val="16"/>
      <color theme="1" tint="0.499984740745262"/>
      <name val="Calibri Light"/>
      <family val="2"/>
      <scheme val="major"/>
    </font>
    <font>
      <i/>
      <sz val="11"/>
      <color theme="1" tint="0.499984740745262"/>
      <name val="Calibri"/>
      <family val="2"/>
      <scheme val="minor"/>
    </font>
    <font>
      <sz val="9"/>
      <color indexed="81"/>
      <name val="Tahoma"/>
      <family val="2"/>
    </font>
    <font>
      <sz val="16"/>
      <color theme="5" tint="-0.249977111117893"/>
      <name val="Calibri Light"/>
      <family val="2"/>
      <scheme val="major"/>
    </font>
    <font>
      <sz val="16"/>
      <color theme="4" tint="-0.249977111117893"/>
      <name val="Calibri Light"/>
      <family val="2"/>
      <scheme val="major"/>
    </font>
    <font>
      <sz val="18"/>
      <color theme="4" tint="-0.249977111117893"/>
      <name val="Calibri Light"/>
      <family val="2"/>
      <scheme val="major"/>
    </font>
    <font>
      <sz val="11"/>
      <color theme="4" tint="-0.249977111117893"/>
      <name val="Calibri"/>
      <family val="2"/>
      <scheme val="minor"/>
    </font>
    <font>
      <sz val="11"/>
      <color theme="1" tint="0.499984740745262"/>
      <name val="Calibri Light"/>
      <family val="2"/>
      <scheme val="major"/>
    </font>
    <font>
      <sz val="11"/>
      <color theme="1"/>
      <name val="Calibri"/>
      <family val="2"/>
      <scheme val="minor"/>
    </font>
    <font>
      <sz val="11"/>
      <color rgb="FF000000"/>
      <name val="Calibri"/>
      <family val="2"/>
    </font>
    <font>
      <sz val="12"/>
      <color theme="3"/>
      <name val="Calibri"/>
      <family val="2"/>
      <scheme val="minor"/>
    </font>
    <font>
      <sz val="10"/>
      <name val="Arial"/>
      <family val="2"/>
    </font>
    <font>
      <sz val="11"/>
      <color theme="4" tint="-0.249977111117893"/>
      <name val="Calibri"/>
      <family val="2"/>
    </font>
    <font>
      <i/>
      <sz val="11"/>
      <color theme="4" tint="-0.249977111117893"/>
      <name val="Calibri"/>
      <family val="2"/>
      <scheme val="minor"/>
    </font>
    <font>
      <i/>
      <sz val="11"/>
      <color theme="3"/>
      <name val="Calibri"/>
      <family val="2"/>
      <scheme val="minor"/>
    </font>
    <font>
      <sz val="11"/>
      <color theme="3"/>
      <name val="Calibri"/>
      <family val="2"/>
      <scheme val="minor"/>
    </font>
    <font>
      <b/>
      <sz val="10"/>
      <color theme="1" tint="0.24994659260841701"/>
      <name val="Calibri"/>
      <family val="2"/>
    </font>
    <font>
      <sz val="11"/>
      <color theme="1" tint="0.249977111117893"/>
      <name val="Calibri"/>
      <family val="2"/>
      <scheme val="minor"/>
    </font>
    <font>
      <i/>
      <sz val="11"/>
      <color theme="1"/>
      <name val="Calibri"/>
      <family val="2"/>
      <scheme val="minor"/>
    </font>
    <font>
      <sz val="11"/>
      <color theme="0" tint="-0.499984740745262"/>
      <name val="Calibri"/>
      <family val="2"/>
      <scheme val="minor"/>
    </font>
    <font>
      <i/>
      <sz val="11"/>
      <color theme="0" tint="-0.249977111117893"/>
      <name val="Calibri"/>
      <family val="2"/>
      <scheme val="minor"/>
    </font>
    <font>
      <u/>
      <sz val="11"/>
      <color theme="10"/>
      <name val="Calibri"/>
      <family val="2"/>
      <scheme val="minor"/>
    </font>
    <font>
      <u/>
      <sz val="14"/>
      <color theme="1" tint="0.499984740745262"/>
      <name val="Calibri Light"/>
      <family val="2"/>
      <scheme val="major"/>
    </font>
    <font>
      <sz val="10"/>
      <color theme="1" tint="0.34998626667073579"/>
      <name val="Calibri Light"/>
      <family val="2"/>
      <scheme val="major"/>
    </font>
    <font>
      <u/>
      <sz val="10"/>
      <color theme="1" tint="0.34998626667073579"/>
      <name val="Calibri Light"/>
      <family val="2"/>
      <scheme val="major"/>
    </font>
  </fonts>
  <fills count="6">
    <fill>
      <patternFill patternType="none"/>
    </fill>
    <fill>
      <patternFill patternType="gray125"/>
    </fill>
    <fill>
      <gradientFill degree="90">
        <stop position="0">
          <color theme="4" tint="0.40000610370189521"/>
        </stop>
        <stop position="0.5">
          <color theme="3"/>
        </stop>
        <stop position="1">
          <color theme="4" tint="0.40000610370189521"/>
        </stop>
      </gradientFill>
    </fill>
    <fill>
      <patternFill patternType="solid">
        <fgColor indexed="8"/>
        <bgColor indexed="64"/>
      </patternFill>
    </fill>
    <fill>
      <patternFill patternType="solid">
        <fgColor theme="0" tint="-4.9989318521683403E-2"/>
        <bgColor indexed="64"/>
      </patternFill>
    </fill>
    <fill>
      <patternFill patternType="solid">
        <fgColor theme="6" tint="0.79998168889431442"/>
        <bgColor indexed="64"/>
      </patternFill>
    </fill>
  </fills>
  <borders count="66">
    <border>
      <left/>
      <right/>
      <top/>
      <bottom/>
      <diagonal/>
    </border>
    <border>
      <left/>
      <right/>
      <top/>
      <bottom style="thin">
        <color theme="3"/>
      </bottom>
      <diagonal/>
    </border>
    <border>
      <left/>
      <right style="dotted">
        <color theme="0" tint="-0.249977111117893"/>
      </right>
      <top/>
      <bottom/>
      <diagonal/>
    </border>
    <border>
      <left/>
      <right/>
      <top/>
      <bottom style="dotted">
        <color theme="0" tint="-0.249977111117893"/>
      </bottom>
      <diagonal/>
    </border>
    <border>
      <left/>
      <right/>
      <top/>
      <bottom style="thin">
        <color theme="0" tint="-0.499984740745262"/>
      </bottom>
      <diagonal/>
    </border>
    <border>
      <left style="dotted">
        <color theme="0" tint="-0.249977111117893"/>
      </left>
      <right/>
      <top/>
      <bottom style="hair">
        <color theme="0" tint="-0.249977111117893"/>
      </bottom>
      <diagonal/>
    </border>
    <border>
      <left/>
      <right/>
      <top/>
      <bottom style="hair">
        <color theme="0" tint="-0.249977111117893"/>
      </bottom>
      <diagonal/>
    </border>
    <border>
      <left/>
      <right style="dotted">
        <color theme="0" tint="-0.249977111117893"/>
      </right>
      <top/>
      <bottom style="thin">
        <color theme="0" tint="-0.499984740745262"/>
      </bottom>
      <diagonal/>
    </border>
    <border>
      <left/>
      <right style="dotted">
        <color theme="0" tint="-0.249977111117893"/>
      </right>
      <top/>
      <bottom style="hair">
        <color theme="0" tint="-0.249977111117893"/>
      </bottom>
      <diagonal/>
    </border>
    <border>
      <left/>
      <right style="dotted">
        <color theme="0" tint="-0.249977111117893"/>
      </right>
      <top/>
      <bottom style="thin">
        <color theme="3"/>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style="dotted">
        <color theme="0" tint="-0.249977111117893"/>
      </right>
      <top style="dotted">
        <color theme="0" tint="-0.249977111117893"/>
      </top>
      <bottom style="thin">
        <color theme="0" tint="-0.499984740745262"/>
      </bottom>
      <diagonal/>
    </border>
    <border>
      <left/>
      <right/>
      <top style="dotted">
        <color theme="0" tint="-0.249977111117893"/>
      </top>
      <bottom style="thin">
        <color theme="0" tint="-0.499984740745262"/>
      </bottom>
      <diagonal/>
    </border>
    <border>
      <left style="dotted">
        <color theme="0" tint="-0.249977111117893"/>
      </left>
      <right/>
      <top style="dotted">
        <color theme="0" tint="-0.249977111117893"/>
      </top>
      <bottom style="thin">
        <color theme="0" tint="-0.499984740745262"/>
      </bottom>
      <diagonal/>
    </border>
    <border>
      <left style="dotted">
        <color theme="0" tint="-0.249977111117893"/>
      </left>
      <right/>
      <top/>
      <bottom/>
      <diagonal/>
    </border>
    <border>
      <left style="dotted">
        <color theme="0" tint="-0.249977111117893"/>
      </left>
      <right/>
      <top/>
      <bottom style="thin">
        <color theme="3"/>
      </bottom>
      <diagonal/>
    </border>
    <border>
      <left/>
      <right/>
      <top/>
      <bottom style="hair">
        <color theme="1" tint="0.499984740745262"/>
      </bottom>
      <diagonal/>
    </border>
    <border>
      <left/>
      <right style="dashed">
        <color theme="0" tint="-0.249977111117893"/>
      </right>
      <top style="hair">
        <color theme="0" tint="-0.249977111117893"/>
      </top>
      <bottom/>
      <diagonal/>
    </border>
    <border>
      <left/>
      <right style="dotted">
        <color theme="0" tint="-0.249977111117893"/>
      </right>
      <top style="hair">
        <color theme="0" tint="-0.249977111117893"/>
      </top>
      <bottom/>
      <diagonal/>
    </border>
    <border>
      <left style="dotted">
        <color theme="0" tint="-0.249977111117893"/>
      </left>
      <right/>
      <top style="thin">
        <color theme="3"/>
      </top>
      <bottom style="dotted">
        <color theme="0" tint="-0.249977111117893"/>
      </bottom>
      <diagonal/>
    </border>
    <border>
      <left/>
      <right/>
      <top style="thin">
        <color theme="3"/>
      </top>
      <bottom style="dotted">
        <color theme="0" tint="-0.249977111117893"/>
      </bottom>
      <diagonal/>
    </border>
    <border>
      <left/>
      <right style="dotted">
        <color theme="0" tint="-0.249977111117893"/>
      </right>
      <top style="thin">
        <color theme="3"/>
      </top>
      <bottom style="dotted">
        <color theme="0" tint="-0.249977111117893"/>
      </bottom>
      <diagonal/>
    </border>
    <border>
      <left/>
      <right/>
      <top/>
      <bottom style="thin">
        <color theme="4"/>
      </bottom>
      <diagonal/>
    </border>
    <border>
      <left/>
      <right/>
      <top/>
      <bottom style="thin">
        <color theme="1" tint="0.499984740745262"/>
      </bottom>
      <diagonal/>
    </border>
    <border>
      <left/>
      <right/>
      <top/>
      <bottom style="thin">
        <color theme="0" tint="-0.249977111117893"/>
      </bottom>
      <diagonal/>
    </border>
    <border>
      <left style="dotted">
        <color theme="0" tint="-0.249977111117893"/>
      </left>
      <right style="dotted">
        <color theme="0" tint="-0.249977111117893"/>
      </right>
      <top/>
      <bottom/>
      <diagonal/>
    </border>
    <border>
      <left style="dotted">
        <color theme="0" tint="-0.249977111117893"/>
      </left>
      <right style="dotted">
        <color theme="0" tint="-0.249977111117893"/>
      </right>
      <top/>
      <bottom style="hair">
        <color theme="0" tint="-0.249977111117893"/>
      </bottom>
      <diagonal/>
    </border>
    <border>
      <left/>
      <right style="dotted">
        <color theme="0" tint="-0.249977111117893"/>
      </right>
      <top/>
      <bottom style="thin">
        <color theme="0" tint="-0.249977111117893"/>
      </bottom>
      <diagonal/>
    </border>
    <border>
      <left style="dotted">
        <color theme="0" tint="-0.249977111117893"/>
      </left>
      <right style="dotted">
        <color theme="0" tint="-0.249977111117893"/>
      </right>
      <top/>
      <bottom style="thin">
        <color theme="0" tint="-0.249977111117893"/>
      </bottom>
      <diagonal/>
    </border>
    <border>
      <left style="dotted">
        <color theme="0" tint="-0.249977111117893"/>
      </left>
      <right style="dotted">
        <color theme="0" tint="-0.249977111117893"/>
      </right>
      <top/>
      <bottom style="thin">
        <color theme="0" tint="-0.499984740745262"/>
      </bottom>
      <diagonal/>
    </border>
    <border>
      <left style="dotted">
        <color theme="0" tint="-0.249977111117893"/>
      </left>
      <right/>
      <top/>
      <bottom style="thin">
        <color theme="0" tint="-0.249977111117893"/>
      </bottom>
      <diagonal/>
    </border>
    <border>
      <left/>
      <right style="dotted">
        <color theme="0" tint="-0.249977111117893"/>
      </right>
      <top style="thin">
        <color theme="0" tint="-0.499984740745262"/>
      </top>
      <bottom/>
      <diagonal/>
    </border>
    <border>
      <left style="dotted">
        <color theme="0" tint="-0.249977111117893"/>
      </left>
      <right style="dotted">
        <color theme="0" tint="-0.249977111117893"/>
      </right>
      <top style="thin">
        <color theme="0" tint="-0.499984740745262"/>
      </top>
      <bottom/>
      <diagonal/>
    </border>
    <border>
      <left/>
      <right/>
      <top style="thin">
        <color theme="5" tint="-0.249977111117893"/>
      </top>
      <bottom style="thin">
        <color theme="5" tint="-0.249977111117893"/>
      </bottom>
      <diagonal/>
    </border>
    <border>
      <left/>
      <right style="hair">
        <color theme="0" tint="-0.249977111117893"/>
      </right>
      <top/>
      <bottom/>
      <diagonal/>
    </border>
    <border>
      <left/>
      <right style="hair">
        <color theme="0" tint="-0.249977111117893"/>
      </right>
      <top/>
      <bottom style="thin">
        <color theme="0" tint="-0.249977111117893"/>
      </bottom>
      <diagonal/>
    </border>
    <border>
      <left/>
      <right/>
      <top style="thin">
        <color theme="0" tint="-0.249977111117893"/>
      </top>
      <bottom/>
      <diagonal/>
    </border>
    <border>
      <left style="hair">
        <color theme="0" tint="-0.249977111117893"/>
      </left>
      <right/>
      <top style="thin">
        <color theme="0" tint="-0.249977111117893"/>
      </top>
      <bottom/>
      <diagonal/>
    </border>
    <border>
      <left/>
      <right style="hair">
        <color theme="0" tint="-0.249977111117893"/>
      </right>
      <top style="thin">
        <color theme="0" tint="-0.499984740745262"/>
      </top>
      <bottom/>
      <diagonal/>
    </border>
    <border>
      <left/>
      <right/>
      <top/>
      <bottom style="medium">
        <color theme="3"/>
      </bottom>
      <diagonal/>
    </border>
    <border>
      <left/>
      <right style="hair">
        <color theme="0" tint="-0.34998626667073579"/>
      </right>
      <top/>
      <bottom style="thin">
        <color theme="0" tint="-0.249977111117893"/>
      </bottom>
      <diagonal/>
    </border>
    <border>
      <left/>
      <right/>
      <top/>
      <bottom style="thin">
        <color theme="5" tint="-0.249977111117893"/>
      </bottom>
      <diagonal/>
    </border>
    <border>
      <left/>
      <right/>
      <top/>
      <bottom style="thin">
        <color theme="4" tint="-0.249977111117893"/>
      </bottom>
      <diagonal/>
    </border>
    <border>
      <left/>
      <right/>
      <top style="thin">
        <color theme="3"/>
      </top>
      <bottom style="thin">
        <color theme="3"/>
      </bottom>
      <diagonal/>
    </border>
    <border>
      <left/>
      <right/>
      <top/>
      <bottom style="thin">
        <color theme="4" tint="0.39997558519241921"/>
      </bottom>
      <diagonal/>
    </border>
    <border>
      <left style="hair">
        <color theme="3"/>
      </left>
      <right/>
      <top style="hair">
        <color theme="3"/>
      </top>
      <bottom/>
      <diagonal/>
    </border>
    <border>
      <left/>
      <right/>
      <top style="hair">
        <color theme="3"/>
      </top>
      <bottom/>
      <diagonal/>
    </border>
    <border>
      <left/>
      <right style="hair">
        <color theme="3"/>
      </right>
      <top style="hair">
        <color theme="3"/>
      </top>
      <bottom/>
      <diagonal/>
    </border>
    <border>
      <left style="hair">
        <color theme="3"/>
      </left>
      <right/>
      <top/>
      <bottom/>
      <diagonal/>
    </border>
    <border>
      <left/>
      <right style="hair">
        <color theme="3"/>
      </right>
      <top/>
      <bottom/>
      <diagonal/>
    </border>
    <border>
      <left style="hair">
        <color theme="3"/>
      </left>
      <right style="hair">
        <color theme="3"/>
      </right>
      <top/>
      <bottom/>
      <diagonal/>
    </border>
    <border>
      <left/>
      <right style="hair">
        <color theme="3"/>
      </right>
      <top style="thin">
        <color theme="3"/>
      </top>
      <bottom/>
      <diagonal/>
    </border>
    <border>
      <left style="hair">
        <color theme="3"/>
      </left>
      <right style="hair">
        <color theme="3"/>
      </right>
      <top style="thin">
        <color theme="3"/>
      </top>
      <bottom/>
      <diagonal/>
    </border>
    <border>
      <left/>
      <right style="hair">
        <color theme="3"/>
      </right>
      <top/>
      <bottom style="thin">
        <color theme="3"/>
      </bottom>
      <diagonal/>
    </border>
    <border>
      <left style="hair">
        <color theme="3"/>
      </left>
      <right style="hair">
        <color theme="3"/>
      </right>
      <top/>
      <bottom style="thin">
        <color theme="3"/>
      </bottom>
      <diagonal/>
    </border>
    <border>
      <left/>
      <right style="hair">
        <color theme="3"/>
      </right>
      <top style="thin">
        <color theme="3"/>
      </top>
      <bottom style="thin">
        <color theme="3"/>
      </bottom>
      <diagonal/>
    </border>
    <border>
      <left style="hair">
        <color theme="3"/>
      </left>
      <right/>
      <top/>
      <bottom style="hair">
        <color theme="3"/>
      </bottom>
      <diagonal/>
    </border>
    <border>
      <left/>
      <right/>
      <top/>
      <bottom style="hair">
        <color theme="3"/>
      </bottom>
      <diagonal/>
    </border>
    <border>
      <left/>
      <right style="hair">
        <color theme="3"/>
      </right>
      <top/>
      <bottom style="hair">
        <color theme="3"/>
      </bottom>
      <diagonal/>
    </border>
    <border>
      <left style="dotted">
        <color theme="0" tint="-0.249977111117893"/>
      </left>
      <right style="dotted">
        <color theme="0" tint="-0.249977111117893"/>
      </right>
      <top style="hair">
        <color theme="0" tint="-0.34998626667073579"/>
      </top>
      <bottom style="hair">
        <color theme="0" tint="-0.34998626667073579"/>
      </bottom>
      <diagonal/>
    </border>
    <border>
      <left/>
      <right style="dotted">
        <color theme="0" tint="-0.249977111117893"/>
      </right>
      <top style="hair">
        <color theme="0" tint="-0.34998626667073579"/>
      </top>
      <bottom style="hair">
        <color theme="0" tint="-0.34998626667073579"/>
      </bottom>
      <diagonal/>
    </border>
    <border>
      <left style="hair">
        <color theme="0" tint="-0.34998626667073579"/>
      </left>
      <right style="hair">
        <color theme="0" tint="-0.34998626667073579"/>
      </right>
      <top style="hair">
        <color theme="0" tint="-0.34998626667073579"/>
      </top>
      <bottom style="thin">
        <color theme="0" tint="-0.249977111117893"/>
      </bottom>
      <diagonal/>
    </border>
    <border>
      <left/>
      <right/>
      <top style="thin">
        <color theme="0" tint="-0.499984740745262"/>
      </top>
      <bottom style="hair">
        <color theme="0" tint="-0.249977111117893"/>
      </bottom>
      <diagonal/>
    </border>
    <border>
      <left/>
      <right/>
      <top style="hair">
        <color theme="0" tint="-0.249977111117893"/>
      </top>
      <bottom style="hair">
        <color theme="0" tint="-0.249977111117893"/>
      </bottom>
      <diagonal/>
    </border>
    <border>
      <left/>
      <right/>
      <top style="hair">
        <color theme="0" tint="-0.249977111117893"/>
      </top>
      <bottom/>
      <diagonal/>
    </border>
    <border>
      <left/>
      <right/>
      <top style="thin">
        <color theme="4"/>
      </top>
      <bottom style="hair">
        <color theme="0" tint="-0.249977111117893"/>
      </bottom>
      <diagonal/>
    </border>
  </borders>
  <cellStyleXfs count="10">
    <xf numFmtId="0" fontId="0" fillId="0" borderId="0"/>
    <xf numFmtId="49" fontId="3" fillId="2" borderId="1" applyNumberFormat="0" applyProtection="0">
      <alignment horizontal="left" vertical="center"/>
    </xf>
    <xf numFmtId="49" fontId="7" fillId="3" borderId="1" applyNumberFormat="0" applyFill="0" applyAlignment="0" applyProtection="0">
      <alignment horizontal="left"/>
    </xf>
    <xf numFmtId="0" fontId="11" fillId="4" borderId="10" applyNumberFormat="0" applyAlignment="0">
      <protection locked="0"/>
    </xf>
    <xf numFmtId="0" fontId="11" fillId="5" borderId="10" applyNumberFormat="0" applyAlignment="0" applyProtection="0">
      <protection locked="0"/>
    </xf>
    <xf numFmtId="49" fontId="16" fillId="3" borderId="39" applyFill="0" applyProtection="0">
      <alignment horizontal="left"/>
    </xf>
    <xf numFmtId="0" fontId="40" fillId="0" borderId="0"/>
    <xf numFmtId="49" fontId="7" fillId="3" borderId="1" applyNumberFormat="0" applyFill="0" applyAlignment="0" applyProtection="0">
      <alignment horizontal="left"/>
    </xf>
    <xf numFmtId="0" fontId="43" fillId="0" borderId="0">
      <alignment horizontal="left" wrapText="1"/>
    </xf>
    <xf numFmtId="0" fontId="53" fillId="0" borderId="0" applyNumberFormat="0" applyFill="0" applyBorder="0" applyAlignment="0" applyProtection="0"/>
  </cellStyleXfs>
  <cellXfs count="385">
    <xf numFmtId="0" fontId="0" fillId="0" borderId="0" xfId="0"/>
    <xf numFmtId="0" fontId="1" fillId="0" borderId="0" xfId="0" applyFont="1"/>
    <xf numFmtId="165" fontId="0" fillId="0" borderId="0" xfId="0" applyNumberFormat="1"/>
    <xf numFmtId="8" fontId="4" fillId="0" borderId="0" xfId="0" applyNumberFormat="1" applyFont="1" applyAlignment="1">
      <alignment horizontal="left"/>
    </xf>
    <xf numFmtId="0" fontId="5" fillId="0" borderId="0" xfId="0" applyFont="1"/>
    <xf numFmtId="3" fontId="2" fillId="0" borderId="0" xfId="0" applyNumberFormat="1" applyFont="1"/>
    <xf numFmtId="3" fontId="0" fillId="0" borderId="0" xfId="0" applyNumberFormat="1"/>
    <xf numFmtId="0" fontId="0" fillId="0" borderId="2" xfId="0" applyBorder="1"/>
    <xf numFmtId="0" fontId="7" fillId="0" borderId="3" xfId="2" applyNumberFormat="1" applyFill="1" applyBorder="1" applyAlignment="1"/>
    <xf numFmtId="0" fontId="8" fillId="0" borderId="4" xfId="0" applyFont="1" applyBorder="1" applyAlignment="1">
      <alignment horizontal="left"/>
    </xf>
    <xf numFmtId="0" fontId="0" fillId="0" borderId="0" xfId="0" applyFill="1" applyBorder="1" applyAlignment="1">
      <alignment horizontal="left"/>
    </xf>
    <xf numFmtId="0" fontId="0" fillId="0" borderId="0" xfId="0" applyBorder="1"/>
    <xf numFmtId="0" fontId="0" fillId="0" borderId="5" xfId="0" applyBorder="1"/>
    <xf numFmtId="0" fontId="0" fillId="0" borderId="0" xfId="0" applyFill="1" applyBorder="1"/>
    <xf numFmtId="164" fontId="0" fillId="0" borderId="0" xfId="0" applyNumberFormat="1" applyBorder="1"/>
    <xf numFmtId="164" fontId="0" fillId="0" borderId="5" xfId="0" applyNumberFormat="1" applyBorder="1"/>
    <xf numFmtId="0" fontId="9" fillId="0" borderId="0" xfId="2" applyNumberFormat="1" applyFont="1" applyFill="1" applyBorder="1" applyAlignment="1">
      <alignment horizontal="left"/>
    </xf>
    <xf numFmtId="0" fontId="7" fillId="0" borderId="1" xfId="2" applyNumberFormat="1" applyFill="1" applyAlignment="1"/>
    <xf numFmtId="0" fontId="0" fillId="0" borderId="0" xfId="0" applyFont="1" applyBorder="1" applyAlignment="1">
      <alignment horizontal="left" indent="1"/>
    </xf>
    <xf numFmtId="0" fontId="0" fillId="0" borderId="1" xfId="0" applyFont="1" applyBorder="1" applyAlignment="1">
      <alignment horizontal="left" indent="1"/>
    </xf>
    <xf numFmtId="3" fontId="8" fillId="0" borderId="4" xfId="0" applyNumberFormat="1" applyFont="1" applyBorder="1" applyAlignment="1">
      <alignment horizontal="right"/>
    </xf>
    <xf numFmtId="0" fontId="0" fillId="0" borderId="0" xfId="0" applyFill="1" applyBorder="1" applyAlignment="1">
      <alignment horizontal="right"/>
    </xf>
    <xf numFmtId="0" fontId="0" fillId="0" borderId="6" xfId="0" applyBorder="1"/>
    <xf numFmtId="164" fontId="0" fillId="0" borderId="6" xfId="0" applyNumberFormat="1" applyBorder="1"/>
    <xf numFmtId="0" fontId="9" fillId="0" borderId="0" xfId="2" applyNumberFormat="1" applyFont="1" applyFill="1" applyBorder="1" applyAlignment="1"/>
    <xf numFmtId="0" fontId="0" fillId="0" borderId="0" xfId="0" applyFont="1" applyBorder="1"/>
    <xf numFmtId="0" fontId="0" fillId="0" borderId="1" xfId="0" applyFont="1" applyBorder="1"/>
    <xf numFmtId="3" fontId="8" fillId="0" borderId="7" xfId="0" applyNumberFormat="1" applyFont="1" applyBorder="1" applyAlignment="1">
      <alignment horizontal="right"/>
    </xf>
    <xf numFmtId="0" fontId="0" fillId="0" borderId="2" xfId="0" applyFill="1" applyBorder="1" applyAlignment="1">
      <alignment horizontal="left"/>
    </xf>
    <xf numFmtId="0" fontId="0" fillId="0" borderId="8" xfId="0" applyBorder="1"/>
    <xf numFmtId="0" fontId="0" fillId="0" borderId="2" xfId="0" applyFill="1" applyBorder="1"/>
    <xf numFmtId="164" fontId="0" fillId="0" borderId="2" xfId="0" applyNumberFormat="1" applyBorder="1"/>
    <xf numFmtId="164" fontId="0" fillId="0" borderId="8" xfId="0" applyNumberFormat="1" applyBorder="1"/>
    <xf numFmtId="0" fontId="9" fillId="0" borderId="2" xfId="2" applyNumberFormat="1" applyFont="1" applyFill="1" applyBorder="1" applyAlignment="1"/>
    <xf numFmtId="0" fontId="7" fillId="0" borderId="9" xfId="2" applyNumberFormat="1" applyFill="1" applyBorder="1" applyAlignment="1"/>
    <xf numFmtId="0" fontId="0" fillId="0" borderId="2" xfId="0" applyFont="1" applyFill="1" applyBorder="1"/>
    <xf numFmtId="0" fontId="0" fillId="0" borderId="9" xfId="0" applyFont="1" applyFill="1" applyBorder="1"/>
    <xf numFmtId="3" fontId="8" fillId="0" borderId="4" xfId="0" applyNumberFormat="1" applyFont="1" applyBorder="1" applyAlignment="1"/>
    <xf numFmtId="0" fontId="0" fillId="0" borderId="0" xfId="0" applyNumberFormat="1" applyFill="1" applyBorder="1" applyAlignment="1">
      <alignment horizontal="right"/>
    </xf>
    <xf numFmtId="11" fontId="0" fillId="0" borderId="0" xfId="0" applyNumberFormat="1" applyBorder="1" applyAlignment="1">
      <alignment horizontal="right"/>
    </xf>
    <xf numFmtId="11" fontId="0" fillId="0" borderId="6" xfId="0" applyNumberFormat="1" applyBorder="1" applyAlignment="1">
      <alignment horizontal="right"/>
    </xf>
    <xf numFmtId="11" fontId="0" fillId="0" borderId="0" xfId="0" applyNumberFormat="1" applyFont="1" applyBorder="1" applyAlignment="1">
      <alignment horizontal="right"/>
    </xf>
    <xf numFmtId="11" fontId="0" fillId="0" borderId="6" xfId="0" applyNumberFormat="1" applyFont="1" applyBorder="1" applyAlignment="1">
      <alignment horizontal="right"/>
    </xf>
    <xf numFmtId="11" fontId="9" fillId="0" borderId="0" xfId="2" applyNumberFormat="1" applyFont="1" applyFill="1" applyBorder="1" applyAlignment="1">
      <alignment horizontal="right"/>
    </xf>
    <xf numFmtId="11" fontId="6" fillId="0" borderId="0" xfId="0" applyNumberFormat="1" applyFont="1" applyFill="1" applyBorder="1" applyAlignment="1">
      <alignment horizontal="right"/>
    </xf>
    <xf numFmtId="11" fontId="6" fillId="0" borderId="1" xfId="0" applyNumberFormat="1" applyFont="1" applyFill="1" applyBorder="1" applyAlignment="1">
      <alignment horizontal="right"/>
    </xf>
    <xf numFmtId="3" fontId="8" fillId="0" borderId="11" xfId="0" applyNumberFormat="1" applyFont="1" applyBorder="1" applyAlignment="1"/>
    <xf numFmtId="0" fontId="0" fillId="0" borderId="2" xfId="0" applyNumberFormat="1" applyFill="1" applyBorder="1" applyAlignment="1">
      <alignment horizontal="right"/>
    </xf>
    <xf numFmtId="11" fontId="0" fillId="0" borderId="2" xfId="0" applyNumberFormat="1" applyFont="1" applyBorder="1" applyAlignment="1">
      <alignment horizontal="right"/>
    </xf>
    <xf numFmtId="11" fontId="0" fillId="0" borderId="8" xfId="0" applyNumberFormat="1" applyFont="1" applyBorder="1" applyAlignment="1">
      <alignment horizontal="right"/>
    </xf>
    <xf numFmtId="11" fontId="6" fillId="0" borderId="2" xfId="0" applyNumberFormat="1" applyFont="1" applyFill="1" applyBorder="1" applyAlignment="1">
      <alignment horizontal="right"/>
    </xf>
    <xf numFmtId="11" fontId="6" fillId="0" borderId="9" xfId="0" applyNumberFormat="1" applyFont="1" applyFill="1" applyBorder="1" applyAlignment="1">
      <alignment horizontal="right"/>
    </xf>
    <xf numFmtId="11" fontId="7" fillId="0" borderId="3" xfId="2" applyNumberFormat="1" applyFill="1" applyBorder="1" applyAlignment="1"/>
    <xf numFmtId="11" fontId="2" fillId="0" borderId="0" xfId="0" applyNumberFormat="1" applyFont="1" applyFill="1" applyBorder="1" applyAlignment="1">
      <alignment horizontal="right"/>
    </xf>
    <xf numFmtId="0" fontId="0" fillId="0" borderId="0" xfId="0" applyFont="1" applyFill="1" applyBorder="1" applyAlignment="1">
      <alignment horizontal="right"/>
    </xf>
    <xf numFmtId="11" fontId="0" fillId="0" borderId="0" xfId="0" applyNumberFormat="1" applyFont="1" applyFill="1" applyBorder="1" applyAlignment="1">
      <alignment horizontal="right"/>
    </xf>
    <xf numFmtId="11" fontId="2" fillId="0" borderId="2" xfId="0" applyNumberFormat="1" applyFont="1" applyFill="1" applyBorder="1" applyAlignment="1">
      <alignment horizontal="right"/>
    </xf>
    <xf numFmtId="0" fontId="0" fillId="0" borderId="2" xfId="0" applyBorder="1" applyAlignment="1">
      <alignment horizontal="right" vertical="top" wrapText="1"/>
    </xf>
    <xf numFmtId="0" fontId="0" fillId="0" borderId="0" xfId="0" applyFill="1" applyBorder="1" applyAlignment="1">
      <alignment horizontal="right" vertical="top" wrapText="1"/>
    </xf>
    <xf numFmtId="0" fontId="0" fillId="0" borderId="2" xfId="0" applyFill="1" applyBorder="1" applyAlignment="1">
      <alignment horizontal="right" vertical="top" wrapText="1"/>
    </xf>
    <xf numFmtId="0" fontId="0" fillId="0" borderId="0" xfId="0" applyAlignment="1">
      <alignment horizontal="right" vertical="top" wrapText="1"/>
    </xf>
    <xf numFmtId="0" fontId="0" fillId="0" borderId="0" xfId="0" applyAlignment="1">
      <alignment horizontal="left"/>
    </xf>
    <xf numFmtId="0" fontId="0" fillId="0" borderId="0" xfId="0" applyAlignment="1">
      <alignment horizontal="left" vertical="top" wrapText="1"/>
    </xf>
    <xf numFmtId="0" fontId="0" fillId="0" borderId="0" xfId="0" applyAlignment="1">
      <alignment horizontal="right"/>
    </xf>
    <xf numFmtId="3" fontId="8" fillId="0" borderId="12" xfId="0" applyNumberFormat="1" applyFont="1" applyBorder="1" applyAlignment="1"/>
    <xf numFmtId="0" fontId="0" fillId="0" borderId="0" xfId="0" applyBorder="1" applyAlignment="1">
      <alignment horizontal="right" vertical="top" wrapText="1"/>
    </xf>
    <xf numFmtId="3" fontId="8" fillId="0" borderId="13" xfId="0" applyNumberFormat="1" applyFont="1" applyBorder="1" applyAlignment="1"/>
    <xf numFmtId="0" fontId="0" fillId="0" borderId="14" xfId="0" applyBorder="1" applyAlignment="1">
      <alignment horizontal="right" vertical="top" wrapText="1"/>
    </xf>
    <xf numFmtId="0" fontId="0" fillId="0" borderId="14" xfId="0" applyNumberFormat="1" applyFill="1" applyBorder="1" applyAlignment="1">
      <alignment horizontal="right"/>
    </xf>
    <xf numFmtId="11" fontId="0" fillId="0" borderId="14" xfId="0" applyNumberFormat="1" applyFont="1" applyBorder="1" applyAlignment="1">
      <alignment horizontal="right"/>
    </xf>
    <xf numFmtId="11" fontId="0" fillId="0" borderId="5" xfId="0" applyNumberFormat="1" applyFont="1" applyBorder="1" applyAlignment="1">
      <alignment horizontal="right"/>
    </xf>
    <xf numFmtId="11" fontId="0" fillId="0" borderId="14" xfId="0" applyNumberFormat="1" applyFont="1" applyFill="1" applyBorder="1" applyAlignment="1">
      <alignment horizontal="right"/>
    </xf>
    <xf numFmtId="11" fontId="6" fillId="0" borderId="14" xfId="0" applyNumberFormat="1" applyFont="1" applyFill="1" applyBorder="1" applyAlignment="1">
      <alignment horizontal="right"/>
    </xf>
    <xf numFmtId="11" fontId="0" fillId="0" borderId="15" xfId="0" applyNumberFormat="1" applyFont="1" applyFill="1" applyBorder="1" applyAlignment="1">
      <alignment horizontal="right"/>
    </xf>
    <xf numFmtId="9" fontId="0" fillId="0" borderId="0" xfId="0" applyNumberFormat="1"/>
    <xf numFmtId="4" fontId="2" fillId="0" borderId="0" xfId="0" applyNumberFormat="1" applyFont="1"/>
    <xf numFmtId="0" fontId="2" fillId="0" borderId="0" xfId="0" applyFont="1"/>
    <xf numFmtId="11" fontId="0" fillId="0" borderId="0" xfId="0" applyNumberFormat="1"/>
    <xf numFmtId="11" fontId="2" fillId="0" borderId="0" xfId="0" applyNumberFormat="1" applyFont="1"/>
    <xf numFmtId="1" fontId="0" fillId="0" borderId="0" xfId="0" applyNumberFormat="1"/>
    <xf numFmtId="4" fontId="0" fillId="0" borderId="0" xfId="0" applyNumberFormat="1"/>
    <xf numFmtId="3" fontId="6" fillId="0" borderId="0" xfId="0" applyNumberFormat="1" applyFont="1"/>
    <xf numFmtId="11" fontId="12" fillId="0" borderId="0" xfId="0" applyNumberFormat="1" applyFont="1" applyFill="1" applyBorder="1" applyAlignment="1">
      <alignment horizontal="right"/>
    </xf>
    <xf numFmtId="11" fontId="12" fillId="0" borderId="2" xfId="0" applyNumberFormat="1" applyFont="1" applyFill="1" applyBorder="1" applyAlignment="1">
      <alignment horizontal="right"/>
    </xf>
    <xf numFmtId="11" fontId="6" fillId="0" borderId="15" xfId="0" applyNumberFormat="1" applyFont="1" applyFill="1" applyBorder="1" applyAlignment="1">
      <alignment horizontal="right"/>
    </xf>
    <xf numFmtId="11" fontId="9" fillId="0" borderId="1" xfId="2" applyNumberFormat="1" applyFont="1" applyFill="1" applyAlignment="1">
      <alignment horizontal="right"/>
    </xf>
    <xf numFmtId="11" fontId="9" fillId="0" borderId="9" xfId="2" applyNumberFormat="1" applyFont="1" applyFill="1" applyBorder="1" applyAlignment="1">
      <alignment horizontal="right"/>
    </xf>
    <xf numFmtId="164" fontId="2" fillId="0" borderId="0" xfId="0" applyNumberFormat="1" applyFont="1"/>
    <xf numFmtId="0" fontId="13" fillId="0" borderId="4" xfId="0" applyFont="1" applyBorder="1" applyAlignment="1">
      <alignment horizontal="left"/>
    </xf>
    <xf numFmtId="0" fontId="14" fillId="0" borderId="4" xfId="0" applyFont="1" applyBorder="1" applyAlignment="1">
      <alignment horizontal="right"/>
    </xf>
    <xf numFmtId="0" fontId="10" fillId="0" borderId="4" xfId="0" applyFont="1" applyBorder="1" applyAlignment="1">
      <alignment horizontal="right"/>
    </xf>
    <xf numFmtId="0" fontId="0" fillId="0" borderId="0" xfId="0" applyAlignment="1">
      <alignment horizontal="left" indent="1"/>
    </xf>
    <xf numFmtId="0" fontId="15" fillId="0" borderId="0" xfId="0" applyFont="1" applyBorder="1" applyAlignment="1">
      <alignment horizontal="left" indent="1"/>
    </xf>
    <xf numFmtId="0" fontId="15" fillId="0" borderId="0" xfId="0" applyFont="1" applyFill="1" applyBorder="1" applyAlignment="1">
      <alignment horizontal="left" indent="1"/>
    </xf>
    <xf numFmtId="0" fontId="10" fillId="0" borderId="16" xfId="0" applyFont="1" applyBorder="1"/>
    <xf numFmtId="0" fontId="0" fillId="0" borderId="0" xfId="0" applyBorder="1" applyAlignment="1">
      <alignment horizontal="left" indent="1"/>
    </xf>
    <xf numFmtId="11" fontId="0" fillId="0" borderId="0" xfId="0" applyNumberFormat="1" applyBorder="1"/>
    <xf numFmtId="0" fontId="0" fillId="0" borderId="4" xfId="0" applyBorder="1"/>
    <xf numFmtId="11" fontId="0" fillId="0" borderId="4" xfId="0" applyNumberFormat="1" applyBorder="1"/>
    <xf numFmtId="166" fontId="0" fillId="0" borderId="0" xfId="0" applyNumberFormat="1"/>
    <xf numFmtId="11" fontId="9" fillId="0" borderId="18" xfId="2" applyNumberFormat="1" applyFont="1" applyFill="1" applyBorder="1" applyAlignment="1">
      <alignment horizontal="right"/>
    </xf>
    <xf numFmtId="3" fontId="12" fillId="0" borderId="0" xfId="0" applyNumberFormat="1" applyFont="1"/>
    <xf numFmtId="1" fontId="0" fillId="0" borderId="17" xfId="0" applyNumberFormat="1" applyBorder="1"/>
    <xf numFmtId="2" fontId="12" fillId="0" borderId="2" xfId="0" applyNumberFormat="1" applyFont="1" applyBorder="1"/>
    <xf numFmtId="1" fontId="0" fillId="0" borderId="0" xfId="0" applyNumberFormat="1" applyFont="1"/>
    <xf numFmtId="1" fontId="0" fillId="0" borderId="18" xfId="0" applyNumberFormat="1" applyFont="1" applyBorder="1"/>
    <xf numFmtId="1" fontId="12" fillId="0" borderId="0" xfId="0" applyNumberFormat="1" applyFont="1"/>
    <xf numFmtId="1" fontId="12" fillId="0" borderId="18" xfId="0" applyNumberFormat="1" applyFont="1" applyBorder="1"/>
    <xf numFmtId="0" fontId="10" fillId="0" borderId="19" xfId="0" applyFont="1" applyBorder="1" applyAlignment="1">
      <alignment horizontal="left" indent="1"/>
    </xf>
    <xf numFmtId="0" fontId="10" fillId="0" borderId="20" xfId="0" applyFont="1" applyBorder="1" applyAlignment="1">
      <alignment horizontal="left" indent="1"/>
    </xf>
    <xf numFmtId="0" fontId="10" fillId="0" borderId="20" xfId="0" applyFont="1" applyBorder="1" applyAlignment="1">
      <alignment horizontal="right"/>
    </xf>
    <xf numFmtId="11" fontId="10" fillId="0" borderId="20" xfId="0" applyNumberFormat="1" applyFont="1" applyBorder="1" applyAlignment="1">
      <alignment horizontal="left"/>
    </xf>
    <xf numFmtId="11" fontId="10" fillId="0" borderId="20" xfId="0" applyNumberFormat="1" applyFont="1" applyFill="1" applyBorder="1" applyAlignment="1">
      <alignment horizontal="right"/>
    </xf>
    <xf numFmtId="11" fontId="10" fillId="0" borderId="20" xfId="0" applyNumberFormat="1" applyFont="1" applyFill="1" applyBorder="1" applyAlignment="1">
      <alignment horizontal="left"/>
    </xf>
    <xf numFmtId="11" fontId="10" fillId="0" borderId="21" xfId="0" applyNumberFormat="1" applyFont="1" applyFill="1" applyBorder="1" applyAlignment="1">
      <alignment horizontal="right"/>
    </xf>
    <xf numFmtId="0" fontId="0" fillId="0" borderId="20" xfId="0" applyBorder="1"/>
    <xf numFmtId="167" fontId="2" fillId="0" borderId="0" xfId="0" applyNumberFormat="1" applyFont="1"/>
    <xf numFmtId="0" fontId="20" fillId="0" borderId="22" xfId="0" applyFont="1" applyBorder="1" applyAlignment="1">
      <alignment horizontal="left"/>
    </xf>
    <xf numFmtId="0" fontId="21" fillId="0" borderId="22" xfId="0" applyFont="1" applyBorder="1" applyAlignment="1">
      <alignment horizontal="right"/>
    </xf>
    <xf numFmtId="0" fontId="8" fillId="0" borderId="23" xfId="0" applyFont="1" applyBorder="1" applyAlignment="1">
      <alignment horizontal="left"/>
    </xf>
    <xf numFmtId="0" fontId="22" fillId="0" borderId="23" xfId="0" applyFont="1" applyBorder="1" applyAlignment="1">
      <alignment horizontal="right"/>
    </xf>
    <xf numFmtId="0" fontId="23" fillId="0" borderId="0" xfId="0" applyFont="1"/>
    <xf numFmtId="0" fontId="0" fillId="0" borderId="23" xfId="0" applyBorder="1"/>
    <xf numFmtId="0" fontId="24" fillId="0" borderId="23" xfId="0" applyFont="1" applyBorder="1" applyAlignment="1">
      <alignment horizontal="left"/>
    </xf>
    <xf numFmtId="2" fontId="6" fillId="0" borderId="0" xfId="0" applyNumberFormat="1" applyFont="1"/>
    <xf numFmtId="2" fontId="6" fillId="0" borderId="2" xfId="0" applyNumberFormat="1" applyFont="1" applyBorder="1"/>
    <xf numFmtId="2" fontId="12" fillId="0" borderId="0" xfId="0" applyNumberFormat="1" applyFont="1"/>
    <xf numFmtId="2" fontId="0" fillId="0" borderId="0" xfId="0" applyNumberFormat="1"/>
    <xf numFmtId="2" fontId="0" fillId="0" borderId="0" xfId="0" applyNumberFormat="1" applyFont="1"/>
    <xf numFmtId="3" fontId="0" fillId="0" borderId="0" xfId="0" applyNumberFormat="1" applyFont="1"/>
    <xf numFmtId="3" fontId="0" fillId="0" borderId="0" xfId="0" applyNumberFormat="1" applyAlignment="1">
      <alignment horizontal="right" vertical="top" wrapText="1"/>
    </xf>
    <xf numFmtId="0" fontId="0" fillId="0" borderId="25" xfId="0" applyBorder="1" applyAlignment="1">
      <alignment horizontal="right"/>
    </xf>
    <xf numFmtId="0" fontId="0" fillId="0" borderId="6" xfId="0" applyBorder="1" applyAlignment="1">
      <alignment horizontal="left" indent="1"/>
    </xf>
    <xf numFmtId="0" fontId="0" fillId="0" borderId="26" xfId="0" applyBorder="1"/>
    <xf numFmtId="11" fontId="0" fillId="0" borderId="25" xfId="0" applyNumberFormat="1" applyBorder="1" applyAlignment="1">
      <alignment horizontal="right"/>
    </xf>
    <xf numFmtId="0" fontId="0" fillId="0" borderId="24" xfId="0" applyBorder="1"/>
    <xf numFmtId="0" fontId="0" fillId="0" borderId="27" xfId="0" applyBorder="1"/>
    <xf numFmtId="0" fontId="0" fillId="0" borderId="28" xfId="0" applyBorder="1"/>
    <xf numFmtId="0" fontId="0" fillId="0" borderId="26" xfId="0" applyBorder="1" applyAlignment="1">
      <alignment horizontal="right"/>
    </xf>
    <xf numFmtId="0" fontId="0" fillId="0" borderId="28" xfId="0" applyBorder="1" applyAlignment="1">
      <alignment horizontal="right"/>
    </xf>
    <xf numFmtId="0" fontId="0" fillId="0" borderId="25" xfId="0" applyFill="1" applyBorder="1" applyAlignment="1">
      <alignment horizontal="right"/>
    </xf>
    <xf numFmtId="0" fontId="0" fillId="0" borderId="30" xfId="0" applyBorder="1" applyAlignment="1">
      <alignment horizontal="left" indent="1"/>
    </xf>
    <xf numFmtId="0" fontId="8" fillId="0" borderId="4" xfId="0" applyFont="1" applyBorder="1" applyAlignment="1">
      <alignment horizontal="left" vertical="center"/>
    </xf>
    <xf numFmtId="3" fontId="8" fillId="0" borderId="4" xfId="0" applyNumberFormat="1" applyFont="1" applyBorder="1" applyAlignment="1">
      <alignment horizontal="right" vertical="center"/>
    </xf>
    <xf numFmtId="3" fontId="8" fillId="0" borderId="7" xfId="0" applyNumberFormat="1" applyFont="1" applyBorder="1" applyAlignment="1">
      <alignment horizontal="right" vertical="center"/>
    </xf>
    <xf numFmtId="3" fontId="8" fillId="0" borderId="29" xfId="0" applyNumberFormat="1" applyFont="1" applyBorder="1" applyAlignment="1">
      <alignment horizontal="right" vertical="center" wrapText="1"/>
    </xf>
    <xf numFmtId="11" fontId="0" fillId="0" borderId="25" xfId="0" applyNumberFormat="1" applyFill="1" applyBorder="1" applyAlignment="1">
      <alignment horizontal="right"/>
    </xf>
    <xf numFmtId="4" fontId="0" fillId="0" borderId="25" xfId="0" applyNumberFormat="1" applyFill="1" applyBorder="1" applyAlignment="1">
      <alignment horizontal="right"/>
    </xf>
    <xf numFmtId="166" fontId="0" fillId="0" borderId="25" xfId="0" applyNumberFormat="1" applyBorder="1" applyAlignment="1">
      <alignment horizontal="right"/>
    </xf>
    <xf numFmtId="0" fontId="0" fillId="0" borderId="5" xfId="0" applyBorder="1" applyAlignment="1">
      <alignment horizontal="left" indent="1"/>
    </xf>
    <xf numFmtId="0" fontId="0" fillId="0" borderId="0" xfId="0" applyFill="1" applyBorder="1" applyAlignment="1">
      <alignment horizontal="left" indent="1"/>
    </xf>
    <xf numFmtId="0" fontId="0" fillId="0" borderId="31" xfId="0" applyBorder="1"/>
    <xf numFmtId="3" fontId="8" fillId="0" borderId="7" xfId="0" applyNumberFormat="1" applyFont="1" applyBorder="1" applyAlignment="1">
      <alignment horizontal="right" vertical="center" wrapText="1"/>
    </xf>
    <xf numFmtId="6" fontId="0" fillId="0" borderId="25" xfId="0" applyNumberFormat="1" applyBorder="1"/>
    <xf numFmtId="0" fontId="0" fillId="0" borderId="32" xfId="0" applyBorder="1" applyAlignment="1">
      <alignment horizontal="right"/>
    </xf>
    <xf numFmtId="0" fontId="0" fillId="0" borderId="30" xfId="0" applyBorder="1"/>
    <xf numFmtId="0" fontId="25" fillId="0" borderId="33" xfId="0" applyFont="1" applyBorder="1"/>
    <xf numFmtId="6" fontId="25" fillId="0" borderId="33" xfId="0" applyNumberFormat="1" applyFont="1" applyBorder="1"/>
    <xf numFmtId="0" fontId="5" fillId="0" borderId="0" xfId="0" applyFont="1" applyFill="1"/>
    <xf numFmtId="0" fontId="3" fillId="0" borderId="0" xfId="1" applyNumberFormat="1" applyFill="1" applyBorder="1">
      <alignment horizontal="left" vertical="center"/>
    </xf>
    <xf numFmtId="0" fontId="19" fillId="0" borderId="0" xfId="1" applyNumberFormat="1" applyFont="1" applyFill="1" applyBorder="1">
      <alignment horizontal="left" vertical="center"/>
    </xf>
    <xf numFmtId="0" fontId="18" fillId="0" borderId="0" xfId="1" applyNumberFormat="1" applyFont="1" applyFill="1" applyBorder="1">
      <alignment horizontal="left" vertical="center"/>
    </xf>
    <xf numFmtId="0" fontId="17" fillId="0" borderId="0" xfId="1" applyNumberFormat="1" applyFont="1" applyFill="1" applyBorder="1">
      <alignment horizontal="left" vertical="center"/>
    </xf>
    <xf numFmtId="0" fontId="16" fillId="0" borderId="0" xfId="1" applyNumberFormat="1" applyFont="1" applyFill="1" applyBorder="1">
      <alignment horizontal="left" vertical="center"/>
    </xf>
    <xf numFmtId="0" fontId="27" fillId="0" borderId="0" xfId="0" applyFont="1" applyFill="1"/>
    <xf numFmtId="0" fontId="10" fillId="0" borderId="4" xfId="0" applyFont="1" applyBorder="1" applyAlignment="1">
      <alignment horizontal="center"/>
    </xf>
    <xf numFmtId="6" fontId="0" fillId="0" borderId="0" xfId="0" applyNumberFormat="1"/>
    <xf numFmtId="168" fontId="0" fillId="0" borderId="0" xfId="0" applyNumberFormat="1"/>
    <xf numFmtId="0" fontId="0" fillId="0" borderId="24" xfId="0" applyBorder="1" applyAlignment="1">
      <alignment horizontal="left" indent="1"/>
    </xf>
    <xf numFmtId="6" fontId="0" fillId="0" borderId="24" xfId="0" applyNumberFormat="1" applyBorder="1"/>
    <xf numFmtId="168" fontId="0" fillId="0" borderId="24" xfId="0" applyNumberFormat="1" applyBorder="1"/>
    <xf numFmtId="0" fontId="28" fillId="0" borderId="0" xfId="0" applyFont="1" applyBorder="1" applyAlignment="1">
      <alignment horizontal="left"/>
    </xf>
    <xf numFmtId="168" fontId="28" fillId="0" borderId="0" xfId="0" applyNumberFormat="1" applyFont="1" applyBorder="1" applyAlignment="1">
      <alignment horizontal="right"/>
    </xf>
    <xf numFmtId="0" fontId="29" fillId="0" borderId="23" xfId="0" applyFont="1" applyBorder="1"/>
    <xf numFmtId="0" fontId="30" fillId="0" borderId="0" xfId="0" applyFont="1" applyAlignment="1">
      <alignment horizontal="left" indent="1"/>
    </xf>
    <xf numFmtId="0" fontId="30" fillId="0" borderId="0" xfId="0" applyFont="1"/>
    <xf numFmtId="0" fontId="30" fillId="0" borderId="0" xfId="0" applyFont="1" applyAlignment="1">
      <alignment horizontal="right"/>
    </xf>
    <xf numFmtId="6" fontId="30" fillId="0" borderId="0" xfId="0" applyNumberFormat="1" applyFont="1"/>
    <xf numFmtId="8" fontId="0" fillId="0" borderId="0" xfId="0" applyNumberFormat="1"/>
    <xf numFmtId="0" fontId="0" fillId="0" borderId="0" xfId="0" applyBorder="1" applyAlignment="1">
      <alignment horizontal="right"/>
    </xf>
    <xf numFmtId="0" fontId="10" fillId="0" borderId="4" xfId="0" applyFont="1" applyBorder="1" applyAlignment="1">
      <alignment horizontal="left"/>
    </xf>
    <xf numFmtId="6" fontId="0" fillId="0" borderId="0" xfId="0" applyNumberFormat="1" applyBorder="1"/>
    <xf numFmtId="9" fontId="2" fillId="0" borderId="0" xfId="0" applyNumberFormat="1" applyFont="1" applyAlignment="1">
      <alignment horizontal="center"/>
    </xf>
    <xf numFmtId="9" fontId="2" fillId="0" borderId="24" xfId="0" applyNumberFormat="1" applyFont="1" applyBorder="1" applyAlignment="1">
      <alignment horizontal="center"/>
    </xf>
    <xf numFmtId="167" fontId="0" fillId="0" borderId="0" xfId="0" applyNumberFormat="1"/>
    <xf numFmtId="164" fontId="0" fillId="0" borderId="0" xfId="0" applyNumberFormat="1"/>
    <xf numFmtId="0" fontId="0" fillId="0" borderId="34" xfId="0" applyBorder="1"/>
    <xf numFmtId="0" fontId="0" fillId="0" borderId="35" xfId="0" applyBorder="1"/>
    <xf numFmtId="0" fontId="30" fillId="0" borderId="34" xfId="0" applyFont="1" applyBorder="1"/>
    <xf numFmtId="0" fontId="10" fillId="0" borderId="34" xfId="0" applyFont="1" applyBorder="1" applyAlignment="1">
      <alignment horizontal="center"/>
    </xf>
    <xf numFmtId="0" fontId="10" fillId="0" borderId="35" xfId="0" applyFont="1" applyBorder="1" applyAlignment="1">
      <alignment horizontal="center"/>
    </xf>
    <xf numFmtId="0" fontId="30" fillId="0" borderId="36" xfId="0" applyFont="1" applyBorder="1" applyAlignment="1">
      <alignment horizontal="right"/>
    </xf>
    <xf numFmtId="0" fontId="0" fillId="0" borderId="37" xfId="0" applyBorder="1"/>
    <xf numFmtId="0" fontId="0" fillId="0" borderId="38" xfId="0" applyBorder="1"/>
    <xf numFmtId="0" fontId="0" fillId="0" borderId="35" xfId="0" applyBorder="1" applyAlignment="1">
      <alignment horizontal="left" indent="1"/>
    </xf>
    <xf numFmtId="0" fontId="10" fillId="0" borderId="38" xfId="0" applyFont="1" applyBorder="1" applyAlignment="1">
      <alignment horizontal="center"/>
    </xf>
    <xf numFmtId="3" fontId="30" fillId="0" borderId="0" xfId="0" applyNumberFormat="1" applyFont="1" applyAlignment="1">
      <alignment horizontal="right"/>
    </xf>
    <xf numFmtId="11" fontId="0" fillId="0" borderId="0" xfId="0" applyNumberFormat="1" applyAlignment="1">
      <alignment horizontal="right"/>
    </xf>
    <xf numFmtId="6" fontId="0" fillId="0" borderId="0" xfId="0" applyNumberFormat="1" applyAlignment="1">
      <alignment horizontal="right"/>
    </xf>
    <xf numFmtId="0" fontId="0" fillId="0" borderId="24" xfId="0" applyBorder="1" applyAlignment="1">
      <alignment horizontal="right"/>
    </xf>
    <xf numFmtId="11" fontId="0" fillId="0" borderId="24" xfId="0" applyNumberFormat="1" applyBorder="1" applyAlignment="1">
      <alignment horizontal="right"/>
    </xf>
    <xf numFmtId="6" fontId="0" fillId="0" borderId="24" xfId="0" applyNumberFormat="1" applyBorder="1" applyAlignment="1">
      <alignment horizontal="right"/>
    </xf>
    <xf numFmtId="6" fontId="30" fillId="0" borderId="0" xfId="0" applyNumberFormat="1" applyFont="1" applyAlignment="1">
      <alignment horizontal="right"/>
    </xf>
    <xf numFmtId="3" fontId="0" fillId="0" borderId="0" xfId="0" applyNumberFormat="1" applyAlignment="1">
      <alignment horizontal="right"/>
    </xf>
    <xf numFmtId="3" fontId="0" fillId="0" borderId="25" xfId="0" applyNumberFormat="1" applyBorder="1" applyAlignment="1">
      <alignment horizontal="right"/>
    </xf>
    <xf numFmtId="8" fontId="2" fillId="0" borderId="0" xfId="0" applyNumberFormat="1" applyFont="1"/>
    <xf numFmtId="0" fontId="0" fillId="0" borderId="0" xfId="0" quotePrefix="1"/>
    <xf numFmtId="11" fontId="0" fillId="0" borderId="0" xfId="0" applyNumberFormat="1" applyAlignment="1">
      <alignment horizontal="left"/>
    </xf>
    <xf numFmtId="0" fontId="0" fillId="0" borderId="0" xfId="0" quotePrefix="1" applyBorder="1"/>
    <xf numFmtId="11" fontId="0" fillId="0" borderId="0" xfId="0" applyNumberFormat="1" applyBorder="1" applyAlignment="1">
      <alignment horizontal="left"/>
    </xf>
    <xf numFmtId="6" fontId="0" fillId="0" borderId="0" xfId="0" applyNumberFormat="1" applyBorder="1" applyAlignment="1">
      <alignment horizontal="right"/>
    </xf>
    <xf numFmtId="8" fontId="26" fillId="0" borderId="24" xfId="0" applyNumberFormat="1" applyFont="1" applyBorder="1"/>
    <xf numFmtId="3" fontId="0" fillId="0" borderId="0" xfId="0" applyNumberFormat="1" applyBorder="1" applyAlignment="1">
      <alignment horizontal="right"/>
    </xf>
    <xf numFmtId="6" fontId="2" fillId="0" borderId="0" xfId="0" applyNumberFormat="1" applyFont="1"/>
    <xf numFmtId="3" fontId="0" fillId="0" borderId="0" xfId="0" quotePrefix="1" applyNumberFormat="1" applyAlignment="1">
      <alignment horizontal="left"/>
    </xf>
    <xf numFmtId="6" fontId="6" fillId="0" borderId="0" xfId="0" applyNumberFormat="1" applyFont="1"/>
    <xf numFmtId="6" fontId="2" fillId="0" borderId="0" xfId="0" applyNumberFormat="1" applyFont="1" applyAlignment="1">
      <alignment horizontal="right"/>
    </xf>
    <xf numFmtId="168" fontId="0" fillId="0" borderId="0" xfId="0" applyNumberFormat="1" applyBorder="1"/>
    <xf numFmtId="0" fontId="32" fillId="0" borderId="4" xfId="0" applyFont="1" applyBorder="1" applyAlignment="1">
      <alignment horizontal="left"/>
    </xf>
    <xf numFmtId="0" fontId="0" fillId="0" borderId="40" xfId="0" applyBorder="1" applyAlignment="1">
      <alignment horizontal="left" indent="1"/>
    </xf>
    <xf numFmtId="168" fontId="30" fillId="0" borderId="0" xfId="0" applyNumberFormat="1" applyFont="1" applyBorder="1"/>
    <xf numFmtId="0" fontId="31" fillId="0" borderId="0" xfId="0" applyFont="1"/>
    <xf numFmtId="6" fontId="31" fillId="0" borderId="0" xfId="0" applyNumberFormat="1" applyFont="1"/>
    <xf numFmtId="0" fontId="0" fillId="0" borderId="41" xfId="0" applyBorder="1"/>
    <xf numFmtId="0" fontId="31" fillId="0" borderId="41" xfId="0" applyFont="1" applyBorder="1"/>
    <xf numFmtId="6" fontId="31" fillId="0" borderId="41" xfId="0" applyNumberFormat="1" applyFont="1" applyBorder="1"/>
    <xf numFmtId="0" fontId="33" fillId="0" borderId="0" xfId="0" applyFont="1"/>
    <xf numFmtId="168" fontId="33" fillId="0" borderId="0" xfId="0" applyNumberFormat="1" applyFont="1"/>
    <xf numFmtId="0" fontId="33" fillId="0" borderId="24" xfId="0" applyFont="1" applyBorder="1"/>
    <xf numFmtId="0" fontId="30" fillId="0" borderId="0" xfId="0" applyFont="1" applyBorder="1" applyAlignment="1">
      <alignment horizontal="left" indent="1"/>
    </xf>
    <xf numFmtId="9" fontId="11" fillId="4" borderId="10" xfId="3" applyNumberFormat="1">
      <protection locked="0"/>
    </xf>
    <xf numFmtId="4" fontId="10" fillId="0" borderId="4" xfId="0" applyNumberFormat="1" applyFont="1" applyBorder="1" applyAlignment="1">
      <alignment horizontal="right"/>
    </xf>
    <xf numFmtId="0" fontId="11" fillId="4" borderId="10" xfId="3">
      <protection locked="0"/>
    </xf>
    <xf numFmtId="2" fontId="0" fillId="0" borderId="6" xfId="0" applyNumberFormat="1" applyBorder="1"/>
    <xf numFmtId="4" fontId="11" fillId="4" borderId="10" xfId="3" applyNumberFormat="1">
      <protection locked="0"/>
    </xf>
    <xf numFmtId="0" fontId="35" fillId="0" borderId="41" xfId="0" applyFont="1" applyBorder="1" applyAlignment="1">
      <alignment horizontal="left"/>
    </xf>
    <xf numFmtId="0" fontId="30" fillId="0" borderId="41" xfId="0" applyFont="1" applyBorder="1" applyAlignment="1">
      <alignment horizontal="right"/>
    </xf>
    <xf numFmtId="0" fontId="0" fillId="0" borderId="3" xfId="0" applyBorder="1"/>
    <xf numFmtId="0" fontId="36" fillId="0" borderId="42" xfId="0" applyFont="1" applyBorder="1" applyAlignment="1">
      <alignment horizontal="left"/>
    </xf>
    <xf numFmtId="0" fontId="37" fillId="0" borderId="42" xfId="0" applyFont="1" applyBorder="1" applyAlignment="1">
      <alignment horizontal="left"/>
    </xf>
    <xf numFmtId="0" fontId="38" fillId="0" borderId="42" xfId="0" applyFont="1" applyBorder="1" applyAlignment="1">
      <alignment horizontal="right"/>
    </xf>
    <xf numFmtId="0" fontId="28" fillId="0" borderId="41" xfId="0" applyFont="1" applyBorder="1" applyAlignment="1">
      <alignment horizontal="left"/>
    </xf>
    <xf numFmtId="0" fontId="0" fillId="0" borderId="0" xfId="0" quotePrefix="1" applyFill="1" applyBorder="1"/>
    <xf numFmtId="167" fontId="30" fillId="0" borderId="0" xfId="0" applyNumberFormat="1" applyFont="1"/>
    <xf numFmtId="0" fontId="39" fillId="0" borderId="0" xfId="0" applyFont="1"/>
    <xf numFmtId="0" fontId="40" fillId="0" borderId="0" xfId="6" applyBorder="1"/>
    <xf numFmtId="0" fontId="40" fillId="0" borderId="1" xfId="6" applyBorder="1"/>
    <xf numFmtId="0" fontId="40" fillId="0" borderId="0" xfId="6"/>
    <xf numFmtId="0" fontId="7" fillId="0" borderId="1" xfId="7" applyNumberFormat="1" applyFill="1" applyBorder="1" applyAlignment="1"/>
    <xf numFmtId="0" fontId="7" fillId="0" borderId="1" xfId="7" applyNumberFormat="1" applyFill="1" applyBorder="1" applyAlignment="1">
      <alignment horizontal="center"/>
    </xf>
    <xf numFmtId="0" fontId="7" fillId="0" borderId="43" xfId="7" applyNumberFormat="1" applyFill="1" applyBorder="1" applyAlignment="1">
      <alignment horizontal="center"/>
    </xf>
    <xf numFmtId="0" fontId="0" fillId="0" borderId="0" xfId="6" quotePrefix="1" applyFont="1" applyBorder="1" applyAlignment="1">
      <alignment horizontal="center"/>
    </xf>
    <xf numFmtId="0" fontId="0" fillId="0" borderId="0" xfId="6" applyFont="1" applyBorder="1" applyAlignment="1">
      <alignment horizontal="left" indent="1"/>
    </xf>
    <xf numFmtId="3" fontId="40" fillId="0" borderId="0" xfId="6" applyNumberFormat="1" applyBorder="1" applyAlignment="1">
      <alignment horizontal="center"/>
    </xf>
    <xf numFmtId="4" fontId="40" fillId="0" borderId="0" xfId="6" applyNumberFormat="1" applyBorder="1" applyAlignment="1">
      <alignment horizontal="center"/>
    </xf>
    <xf numFmtId="0" fontId="2" fillId="0" borderId="1" xfId="6" applyFont="1" applyBorder="1" applyAlignment="1"/>
    <xf numFmtId="0" fontId="40" fillId="0" borderId="1" xfId="6" applyBorder="1" applyAlignment="1">
      <alignment horizontal="center"/>
    </xf>
    <xf numFmtId="0" fontId="42" fillId="0" borderId="0" xfId="6" applyFont="1" applyAlignment="1">
      <alignment horizontal="left" indent="2"/>
    </xf>
    <xf numFmtId="0" fontId="40" fillId="0" borderId="0" xfId="6" applyFill="1" applyBorder="1" applyAlignment="1">
      <alignment horizontal="center"/>
    </xf>
    <xf numFmtId="0" fontId="42" fillId="0" borderId="0" xfId="6" applyFont="1" applyBorder="1" applyAlignment="1">
      <alignment horizontal="left" indent="2"/>
    </xf>
    <xf numFmtId="0" fontId="43" fillId="0" borderId="0" xfId="8" applyAlignment="1"/>
    <xf numFmtId="0" fontId="44" fillId="0" borderId="44" xfId="7" applyNumberFormat="1" applyFont="1" applyFill="1" applyBorder="1" applyAlignment="1"/>
    <xf numFmtId="0" fontId="45" fillId="0" borderId="0" xfId="6" applyFont="1"/>
    <xf numFmtId="0" fontId="38" fillId="0" borderId="0" xfId="6" applyFont="1"/>
    <xf numFmtId="0" fontId="46" fillId="0" borderId="0" xfId="6" applyFont="1" applyBorder="1"/>
    <xf numFmtId="0" fontId="46" fillId="0" borderId="0" xfId="6" applyFont="1"/>
    <xf numFmtId="0" fontId="40" fillId="0" borderId="45" xfId="6" applyBorder="1"/>
    <xf numFmtId="0" fontId="40" fillId="0" borderId="46" xfId="6" applyBorder="1"/>
    <xf numFmtId="0" fontId="40" fillId="0" borderId="47" xfId="6" applyBorder="1"/>
    <xf numFmtId="0" fontId="40" fillId="0" borderId="48" xfId="6" applyBorder="1"/>
    <xf numFmtId="0" fontId="47" fillId="0" borderId="1" xfId="6" applyFont="1" applyBorder="1" applyAlignment="1">
      <alignment horizontal="center"/>
    </xf>
    <xf numFmtId="0" fontId="40" fillId="0" borderId="49" xfId="6" applyBorder="1"/>
    <xf numFmtId="0" fontId="11" fillId="4" borderId="10" xfId="3" applyBorder="1" applyAlignment="1">
      <alignment horizontal="center"/>
      <protection locked="0"/>
    </xf>
    <xf numFmtId="8" fontId="48" fillId="4" borderId="10" xfId="3" applyNumberFormat="1" applyFont="1" applyBorder="1" applyAlignment="1">
      <alignment horizontal="center"/>
      <protection locked="0"/>
    </xf>
    <xf numFmtId="0" fontId="0" fillId="0" borderId="0" xfId="6" applyFont="1"/>
    <xf numFmtId="6" fontId="48" fillId="4" borderId="10" xfId="3" applyNumberFormat="1" applyFont="1" applyBorder="1" applyAlignment="1">
      <alignment horizontal="center"/>
      <protection locked="0"/>
    </xf>
    <xf numFmtId="0" fontId="40" fillId="0" borderId="0" xfId="6" applyBorder="1" applyAlignment="1">
      <alignment horizontal="right"/>
    </xf>
    <xf numFmtId="0" fontId="40" fillId="0" borderId="0" xfId="6" applyBorder="1" applyAlignment="1">
      <alignment horizontal="center"/>
    </xf>
    <xf numFmtId="0" fontId="40" fillId="0" borderId="1" xfId="6" applyFont="1" applyBorder="1"/>
    <xf numFmtId="1" fontId="40" fillId="0" borderId="49" xfId="6" applyNumberFormat="1" applyBorder="1"/>
    <xf numFmtId="0" fontId="40" fillId="0" borderId="50" xfId="6" applyBorder="1"/>
    <xf numFmtId="0" fontId="47" fillId="0" borderId="51" xfId="6" applyFont="1" applyBorder="1" applyAlignment="1">
      <alignment horizontal="center"/>
    </xf>
    <xf numFmtId="0" fontId="47" fillId="0" borderId="52" xfId="6" applyFont="1" applyBorder="1" applyAlignment="1">
      <alignment horizontal="center"/>
    </xf>
    <xf numFmtId="0" fontId="47" fillId="0" borderId="53" xfId="6" applyFont="1" applyBorder="1" applyAlignment="1">
      <alignment horizontal="center"/>
    </xf>
    <xf numFmtId="0" fontId="47" fillId="0" borderId="54" xfId="6" applyFont="1" applyBorder="1" applyAlignment="1">
      <alignment horizontal="center"/>
    </xf>
    <xf numFmtId="3" fontId="47" fillId="0" borderId="54" xfId="6" applyNumberFormat="1" applyFont="1" applyBorder="1" applyAlignment="1">
      <alignment horizontal="center"/>
    </xf>
    <xf numFmtId="0" fontId="46" fillId="0" borderId="43" xfId="6" applyFont="1" applyBorder="1" applyAlignment="1">
      <alignment horizontal="center"/>
    </xf>
    <xf numFmtId="0" fontId="46" fillId="0" borderId="55" xfId="6" applyFont="1" applyBorder="1" applyAlignment="1">
      <alignment horizontal="center"/>
    </xf>
    <xf numFmtId="4" fontId="40" fillId="0" borderId="49" xfId="6" applyNumberFormat="1" applyBorder="1" applyAlignment="1">
      <alignment horizontal="center"/>
    </xf>
    <xf numFmtId="3" fontId="40" fillId="0" borderId="49" xfId="6" applyNumberFormat="1" applyBorder="1" applyAlignment="1">
      <alignment horizontal="center"/>
    </xf>
    <xf numFmtId="3" fontId="40" fillId="0" borderId="1" xfId="6" applyNumberFormat="1" applyBorder="1" applyAlignment="1">
      <alignment horizontal="center"/>
    </xf>
    <xf numFmtId="3" fontId="40" fillId="0" borderId="53" xfId="6" applyNumberFormat="1" applyBorder="1" applyAlignment="1">
      <alignment horizontal="center"/>
    </xf>
    <xf numFmtId="0" fontId="40" fillId="0" borderId="56" xfId="6" applyBorder="1"/>
    <xf numFmtId="0" fontId="40" fillId="0" borderId="57" xfId="6" applyBorder="1"/>
    <xf numFmtId="0" fontId="40" fillId="0" borderId="58" xfId="6" applyBorder="1"/>
    <xf numFmtId="6" fontId="40" fillId="0" borderId="0" xfId="6" applyNumberFormat="1" applyBorder="1" applyAlignment="1">
      <alignment horizontal="center"/>
    </xf>
    <xf numFmtId="170" fontId="40" fillId="0" borderId="0" xfId="6" applyNumberFormat="1" applyBorder="1" applyAlignment="1">
      <alignment horizontal="center"/>
    </xf>
    <xf numFmtId="167" fontId="40" fillId="0" borderId="0" xfId="6" applyNumberFormat="1" applyBorder="1" applyAlignment="1">
      <alignment horizontal="center"/>
    </xf>
    <xf numFmtId="0" fontId="0" fillId="0" borderId="0" xfId="6" applyFont="1" applyBorder="1"/>
    <xf numFmtId="164" fontId="40" fillId="0" borderId="0" xfId="6" applyNumberFormat="1" applyBorder="1" applyAlignment="1">
      <alignment horizontal="center"/>
    </xf>
    <xf numFmtId="3" fontId="11" fillId="4" borderId="10" xfId="3" applyNumberFormat="1">
      <protection locked="0"/>
    </xf>
    <xf numFmtId="167" fontId="11" fillId="4" borderId="10" xfId="3" applyNumberFormat="1">
      <protection locked="0"/>
    </xf>
    <xf numFmtId="165" fontId="11" fillId="4" borderId="10" xfId="3" applyNumberFormat="1">
      <protection locked="0"/>
    </xf>
    <xf numFmtId="11" fontId="11" fillId="4" borderId="10" xfId="3" applyNumberFormat="1">
      <protection locked="0"/>
    </xf>
    <xf numFmtId="2" fontId="11" fillId="4" borderId="10" xfId="3" applyNumberFormat="1">
      <protection locked="0"/>
    </xf>
    <xf numFmtId="6" fontId="11" fillId="4" borderId="10" xfId="3" applyNumberFormat="1">
      <protection locked="0"/>
    </xf>
    <xf numFmtId="8" fontId="11" fillId="4" borderId="10" xfId="3" applyNumberFormat="1">
      <protection locked="0"/>
    </xf>
    <xf numFmtId="6" fontId="11" fillId="4" borderId="10" xfId="3" applyNumberFormat="1" applyAlignment="1">
      <alignment horizontal="right"/>
      <protection locked="0"/>
    </xf>
    <xf numFmtId="170" fontId="11" fillId="4" borderId="10" xfId="3" applyNumberFormat="1">
      <protection locked="0"/>
    </xf>
    <xf numFmtId="164" fontId="11" fillId="4" borderId="10" xfId="3" applyNumberFormat="1">
      <protection locked="0"/>
    </xf>
    <xf numFmtId="166" fontId="11" fillId="4" borderId="10" xfId="3" applyNumberFormat="1">
      <protection locked="0"/>
    </xf>
    <xf numFmtId="2" fontId="6" fillId="0" borderId="25" xfId="0" applyNumberFormat="1" applyFont="1" applyBorder="1" applyAlignment="1">
      <alignment horizontal="right"/>
    </xf>
    <xf numFmtId="6" fontId="0" fillId="0" borderId="2" xfId="0" applyNumberFormat="1" applyBorder="1"/>
    <xf numFmtId="2" fontId="11" fillId="4" borderId="59" xfId="3" applyNumberFormat="1" applyBorder="1">
      <protection locked="0"/>
    </xf>
    <xf numFmtId="6" fontId="11" fillId="4" borderId="59" xfId="3" applyNumberFormat="1" applyBorder="1">
      <protection locked="0"/>
    </xf>
    <xf numFmtId="2" fontId="11" fillId="4" borderId="60" xfId="3" applyNumberFormat="1" applyBorder="1">
      <protection locked="0"/>
    </xf>
    <xf numFmtId="164" fontId="11" fillId="4" borderId="60" xfId="3" applyNumberFormat="1" applyBorder="1">
      <protection locked="0"/>
    </xf>
    <xf numFmtId="6" fontId="11" fillId="4" borderId="60" xfId="3" applyNumberFormat="1" applyBorder="1">
      <protection locked="0"/>
    </xf>
    <xf numFmtId="0" fontId="11" fillId="4" borderId="60" xfId="3" applyBorder="1">
      <protection locked="0"/>
    </xf>
    <xf numFmtId="0" fontId="11" fillId="4" borderId="59" xfId="3" applyBorder="1">
      <protection locked="0"/>
    </xf>
    <xf numFmtId="9" fontId="11" fillId="4" borderId="10" xfId="3" applyNumberFormat="1" applyAlignment="1">
      <alignment horizontal="center"/>
      <protection locked="0"/>
    </xf>
    <xf numFmtId="167" fontId="11" fillId="4" borderId="61" xfId="3" applyNumberFormat="1" applyBorder="1">
      <protection locked="0"/>
    </xf>
    <xf numFmtId="6" fontId="2" fillId="0" borderId="24" xfId="0" applyNumberFormat="1" applyFont="1" applyBorder="1"/>
    <xf numFmtId="0" fontId="6" fillId="0" borderId="0" xfId="0" applyFont="1" applyAlignment="1">
      <alignment horizontal="left" indent="1"/>
    </xf>
    <xf numFmtId="0" fontId="6" fillId="0" borderId="0" xfId="0" applyFont="1"/>
    <xf numFmtId="0" fontId="6" fillId="0" borderId="0" xfId="0" quotePrefix="1" applyFont="1"/>
    <xf numFmtId="8" fontId="6" fillId="0" borderId="0" xfId="0" applyNumberFormat="1" applyFont="1"/>
    <xf numFmtId="169" fontId="6" fillId="0" borderId="0" xfId="0" applyNumberFormat="1" applyFont="1" applyAlignment="1">
      <alignment horizontal="right"/>
    </xf>
    <xf numFmtId="4" fontId="10" fillId="0" borderId="4" xfId="0" applyNumberFormat="1" applyFont="1" applyBorder="1" applyAlignment="1">
      <alignment horizontal="left"/>
    </xf>
    <xf numFmtId="6" fontId="31" fillId="0" borderId="0" xfId="0" applyNumberFormat="1" applyFont="1" applyBorder="1"/>
    <xf numFmtId="8" fontId="31" fillId="0" borderId="0" xfId="0" quotePrefix="1" applyNumberFormat="1" applyFont="1" applyBorder="1"/>
    <xf numFmtId="0" fontId="31" fillId="0" borderId="0" xfId="0" applyFont="1" applyFill="1" applyBorder="1"/>
    <xf numFmtId="8" fontId="31" fillId="0" borderId="41" xfId="0" quotePrefix="1" applyNumberFormat="1" applyFont="1" applyBorder="1"/>
    <xf numFmtId="6" fontId="31" fillId="0" borderId="41" xfId="0" applyNumberFormat="1" applyFont="1" applyBorder="1" applyAlignment="1">
      <alignment horizontal="right"/>
    </xf>
    <xf numFmtId="8" fontId="31" fillId="0" borderId="41" xfId="0" quotePrefix="1" applyNumberFormat="1" applyFont="1" applyBorder="1" applyAlignment="1">
      <alignment horizontal="right"/>
    </xf>
    <xf numFmtId="0" fontId="31" fillId="0" borderId="0" xfId="0" applyFont="1" applyAlignment="1">
      <alignment horizontal="left" indent="1"/>
    </xf>
    <xf numFmtId="0" fontId="31" fillId="0" borderId="0" xfId="0" applyFont="1" applyBorder="1" applyAlignment="1">
      <alignment horizontal="left" indent="1"/>
    </xf>
    <xf numFmtId="0" fontId="31" fillId="0" borderId="41" xfId="0" applyFont="1" applyBorder="1" applyAlignment="1">
      <alignment horizontal="left" indent="1"/>
    </xf>
    <xf numFmtId="0" fontId="40" fillId="0" borderId="0" xfId="6" applyAlignment="1">
      <alignment horizontal="left" indent="1"/>
    </xf>
    <xf numFmtId="0" fontId="0" fillId="0" borderId="0" xfId="6" applyFont="1" applyAlignment="1">
      <alignment horizontal="left" indent="1"/>
    </xf>
    <xf numFmtId="6" fontId="40" fillId="0" borderId="0" xfId="6" applyNumberFormat="1" applyAlignment="1">
      <alignment horizontal="center"/>
    </xf>
    <xf numFmtId="4" fontId="48" fillId="4" borderId="10" xfId="3" applyNumberFormat="1" applyFont="1" applyBorder="1" applyAlignment="1">
      <alignment horizontal="center"/>
      <protection locked="0"/>
    </xf>
    <xf numFmtId="167" fontId="48" fillId="4" borderId="10" xfId="3" applyNumberFormat="1" applyFont="1" applyBorder="1" applyAlignment="1">
      <alignment horizontal="center"/>
      <protection locked="0"/>
    </xf>
    <xf numFmtId="167" fontId="11" fillId="4" borderId="10" xfId="3" applyNumberFormat="1" applyAlignment="1">
      <alignment horizontal="center"/>
      <protection locked="0"/>
    </xf>
    <xf numFmtId="170" fontId="11" fillId="4" borderId="10" xfId="3" applyNumberFormat="1" applyAlignment="1">
      <alignment horizontal="center"/>
      <protection locked="0"/>
    </xf>
    <xf numFmtId="164" fontId="11" fillId="4" borderId="10" xfId="3" applyNumberFormat="1" applyAlignment="1">
      <alignment horizontal="center"/>
      <protection locked="0"/>
    </xf>
    <xf numFmtId="6" fontId="11" fillId="4" borderId="10" xfId="3" applyNumberFormat="1" applyAlignment="1">
      <alignment horizontal="center"/>
      <protection locked="0"/>
    </xf>
    <xf numFmtId="0" fontId="49" fillId="0" borderId="0" xfId="0" applyFont="1"/>
    <xf numFmtId="0" fontId="0" fillId="0" borderId="62" xfId="0" applyBorder="1" applyAlignment="1">
      <alignment horizontal="left" vertical="top" wrapText="1"/>
    </xf>
    <xf numFmtId="0" fontId="0" fillId="0" borderId="63" xfId="0" applyBorder="1" applyAlignment="1">
      <alignment horizontal="left" vertical="top" wrapText="1"/>
    </xf>
    <xf numFmtId="49" fontId="0" fillId="0" borderId="63" xfId="0" applyNumberFormat="1" applyBorder="1" applyAlignment="1">
      <alignment horizontal="left" vertical="top" wrapText="1"/>
    </xf>
    <xf numFmtId="14" fontId="0" fillId="0" borderId="63" xfId="0" applyNumberFormat="1" applyBorder="1" applyAlignment="1">
      <alignment horizontal="left" vertical="top" wrapText="1"/>
    </xf>
    <xf numFmtId="0" fontId="0" fillId="0" borderId="0" xfId="0" quotePrefix="1" applyAlignment="1">
      <alignment horizontal="left" vertical="top" wrapText="1"/>
    </xf>
    <xf numFmtId="0" fontId="0" fillId="0" borderId="63" xfId="0" quotePrefix="1" applyBorder="1" applyAlignment="1">
      <alignment horizontal="left" vertical="top" wrapText="1"/>
    </xf>
    <xf numFmtId="0" fontId="0" fillId="0" borderId="62" xfId="0" quotePrefix="1" applyBorder="1" applyAlignment="1">
      <alignment horizontal="left" vertical="top" wrapText="1"/>
    </xf>
    <xf numFmtId="0" fontId="0" fillId="0" borderId="62" xfId="0" applyBorder="1" applyAlignment="1">
      <alignment horizontal="left" vertical="top" indent="1"/>
    </xf>
    <xf numFmtId="0" fontId="0" fillId="0" borderId="63" xfId="0" applyBorder="1" applyAlignment="1">
      <alignment horizontal="left" vertical="top" indent="1"/>
    </xf>
    <xf numFmtId="0" fontId="0" fillId="0" borderId="0" xfId="0" applyAlignment="1">
      <alignment horizontal="left" vertical="top"/>
    </xf>
    <xf numFmtId="164" fontId="11" fillId="4" borderId="59" xfId="3" applyNumberFormat="1" applyBorder="1">
      <protection locked="0"/>
    </xf>
    <xf numFmtId="0" fontId="30" fillId="0" borderId="0" xfId="0" applyFont="1" applyBorder="1"/>
    <xf numFmtId="0" fontId="6" fillId="0" borderId="6" xfId="0" applyFont="1" applyBorder="1"/>
    <xf numFmtId="169" fontId="6" fillId="0" borderId="6" xfId="0" applyNumberFormat="1" applyFont="1" applyBorder="1" applyAlignment="1">
      <alignment horizontal="right"/>
    </xf>
    <xf numFmtId="0" fontId="6" fillId="0" borderId="6" xfId="0" quotePrefix="1" applyFont="1" applyBorder="1"/>
    <xf numFmtId="0" fontId="51" fillId="0" borderId="64" xfId="0" applyFont="1" applyFill="1" applyBorder="1" applyAlignment="1"/>
    <xf numFmtId="0" fontId="51" fillId="0" borderId="64" xfId="0" applyFont="1" applyFill="1" applyBorder="1" applyAlignment="1">
      <alignment horizontal="left" indent="1"/>
    </xf>
    <xf numFmtId="0" fontId="0" fillId="0" borderId="64" xfId="0" applyBorder="1" applyAlignment="1">
      <alignment horizontal="left" vertical="top" indent="1"/>
    </xf>
    <xf numFmtId="0" fontId="0" fillId="0" borderId="6" xfId="0" applyBorder="1" applyAlignment="1">
      <alignment horizontal="left" vertical="top" wrapText="1"/>
    </xf>
    <xf numFmtId="0" fontId="0" fillId="0" borderId="65" xfId="0" quotePrefix="1" applyBorder="1" applyAlignment="1">
      <alignment horizontal="left" vertical="top" wrapText="1"/>
    </xf>
    <xf numFmtId="6" fontId="11" fillId="4" borderId="59" xfId="3" applyNumberFormat="1" applyBorder="1" applyAlignment="1">
      <alignment horizontal="right"/>
      <protection locked="0"/>
    </xf>
    <xf numFmtId="6" fontId="11" fillId="4" borderId="60" xfId="3" applyNumberFormat="1" applyBorder="1" applyAlignment="1">
      <alignment horizontal="right"/>
      <protection locked="0"/>
    </xf>
    <xf numFmtId="0" fontId="0" fillId="0" borderId="0" xfId="0" applyFill="1"/>
    <xf numFmtId="4" fontId="0" fillId="0" borderId="25" xfId="0" applyNumberFormat="1" applyBorder="1" applyAlignment="1">
      <alignment horizontal="right"/>
    </xf>
    <xf numFmtId="0" fontId="52" fillId="0" borderId="0" xfId="0" applyFont="1"/>
    <xf numFmtId="164" fontId="6" fillId="0" borderId="0" xfId="0" applyNumberFormat="1" applyFont="1"/>
    <xf numFmtId="0" fontId="0" fillId="4" borderId="0" xfId="0" applyFill="1"/>
    <xf numFmtId="0" fontId="0" fillId="4" borderId="0" xfId="0" applyFill="1" applyBorder="1"/>
    <xf numFmtId="0" fontId="50" fillId="4" borderId="0" xfId="0" applyFont="1" applyFill="1" applyAlignment="1">
      <alignment vertical="top" wrapText="1"/>
    </xf>
    <xf numFmtId="0" fontId="0" fillId="4" borderId="0" xfId="0" applyFill="1" applyAlignment="1">
      <alignment vertical="center"/>
    </xf>
    <xf numFmtId="0" fontId="0" fillId="4" borderId="24" xfId="0" applyFill="1" applyBorder="1" applyAlignment="1">
      <alignment vertical="center"/>
    </xf>
    <xf numFmtId="0" fontId="0" fillId="0" borderId="0" xfId="0" applyAlignment="1">
      <alignment vertical="center"/>
    </xf>
    <xf numFmtId="0" fontId="5" fillId="0" borderId="36" xfId="0" applyFont="1" applyBorder="1"/>
    <xf numFmtId="0" fontId="54" fillId="4" borderId="0" xfId="0" applyFont="1" applyFill="1" applyBorder="1" applyAlignment="1">
      <alignment horizontal="center" vertical="center"/>
    </xf>
    <xf numFmtId="0" fontId="55" fillId="4" borderId="0" xfId="0" applyFont="1" applyFill="1" applyBorder="1" applyAlignment="1">
      <alignment vertical="top" wrapText="1"/>
    </xf>
    <xf numFmtId="0" fontId="56" fillId="4" borderId="24" xfId="9" applyFont="1" applyFill="1" applyBorder="1" applyAlignment="1">
      <alignment horizontal="center" vertical="center" wrapText="1"/>
    </xf>
    <xf numFmtId="0" fontId="11" fillId="4" borderId="10" xfId="3" applyAlignment="1">
      <alignment horizontal="center" vertical="center"/>
      <protection locked="0"/>
    </xf>
  </cellXfs>
  <cellStyles count="10">
    <cellStyle name="1.  Input" xfId="3"/>
    <cellStyle name="2.  Heading 2" xfId="2"/>
    <cellStyle name="2.  Input 2" xfId="4"/>
    <cellStyle name="3.  Heading" xfId="5"/>
    <cellStyle name="4.  Heading 2" xfId="7"/>
    <cellStyle name="5.  Title" xfId="1"/>
    <cellStyle name="Hyperlink" xfId="9" builtinId="8"/>
    <cellStyle name="Normal" xfId="0" builtinId="0"/>
    <cellStyle name="Normal 2" xfId="8"/>
    <cellStyle name="Normal 2 2" xfId="6"/>
  </cellStyles>
  <dxfs count="1">
    <dxf>
      <font>
        <b val="0"/>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0305200199475022"/>
          <c:y val="0.18872083182820185"/>
          <c:w val="0.35074358219841195"/>
          <c:h val="0.52583272550449789"/>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C4-48E8-B109-72D86B87844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C4-48E8-B109-72D86B87844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C4-48E8-B109-72D86B87844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C4-48E8-B109-72D86B87844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C4-48E8-B109-72D86B87844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C4-48E8-B109-72D86B878443}"/>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C4-48E8-B109-72D86B878443}"/>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3C4-48E8-B109-72D86B878443}"/>
              </c:ext>
            </c:extLst>
          </c:dPt>
          <c:dLbls>
            <c:dLbl>
              <c:idx val="0"/>
              <c:layout>
                <c:manualLayout>
                  <c:x val="-8.3205282801936967E-2"/>
                  <c:y val="-8.1151227814247509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3C4-48E8-B109-72D86B878443}"/>
                </c:ext>
              </c:extLst>
            </c:dLbl>
            <c:dLbl>
              <c:idx val="6"/>
              <c:layout>
                <c:manualLayout>
                  <c:x val="-3.681048229723189E-2"/>
                  <c:y val="-2.8848836167735165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D-13C4-48E8-B109-72D86B878443}"/>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'OpEx &amp; Rev'!$J$14:$J$21</c:f>
              <c:strCache>
                <c:ptCount val="8"/>
                <c:pt idx="0">
                  <c:v>Raw materials</c:v>
                </c:pt>
                <c:pt idx="1">
                  <c:v>Waste treatment</c:v>
                </c:pt>
                <c:pt idx="2">
                  <c:v>Utilities</c:v>
                </c:pt>
                <c:pt idx="3">
                  <c:v>Operating labor</c:v>
                </c:pt>
                <c:pt idx="4">
                  <c:v>Other variable costs</c:v>
                </c:pt>
                <c:pt idx="5">
                  <c:v>Depreciation</c:v>
                </c:pt>
                <c:pt idx="6">
                  <c:v>Other fixed costs</c:v>
                </c:pt>
                <c:pt idx="7">
                  <c:v>General costs</c:v>
                </c:pt>
              </c:strCache>
            </c:strRef>
          </c:cat>
          <c:val>
            <c:numRef>
              <c:f>'OpEx &amp; Rev'!$L$14:$L$21</c:f>
              <c:numCache>
                <c:formatCode>"$"#,##0</c:formatCode>
                <c:ptCount val="8"/>
                <c:pt idx="0">
                  <c:v>564531.44508034061</c:v>
                </c:pt>
                <c:pt idx="1">
                  <c:v>0</c:v>
                </c:pt>
                <c:pt idx="2">
                  <c:v>13247.966552596286</c:v>
                </c:pt>
                <c:pt idx="3">
                  <c:v>432000</c:v>
                </c:pt>
                <c:pt idx="4">
                  <c:v>352192.56309294328</c:v>
                </c:pt>
                <c:pt idx="5">
                  <c:v>213559.5282858467</c:v>
                </c:pt>
                <c:pt idx="6">
                  <c:v>660364.8169545054</c:v>
                </c:pt>
                <c:pt idx="7">
                  <c:v>195919.17970047699</c:v>
                </c:pt>
              </c:numCache>
            </c:numRef>
          </c:val>
          <c:extLst>
            <c:ext xmlns:c16="http://schemas.microsoft.com/office/drawing/2014/chart" uri="{C3380CC4-5D6E-409C-BE32-E72D297353CC}">
              <c16:uniqueId val="{00000010-13C4-48E8-B109-72D86B878443}"/>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a:t>Tornado</a:t>
            </a:r>
            <a:r>
              <a:rPr lang="en-US" baseline="0"/>
              <a:t> </a:t>
            </a:r>
            <a:r>
              <a:rPr lang="en-US"/>
              <a:t>diagram</a:t>
            </a:r>
          </a:p>
        </c:rich>
      </c:tx>
      <c:overlay val="0"/>
      <c:spPr>
        <a:noFill/>
        <a:ln>
          <a:noFill/>
        </a:ln>
        <a:effectLst/>
      </c:spPr>
    </c:title>
    <c:autoTitleDeleted val="0"/>
    <c:plotArea>
      <c:layout>
        <c:manualLayout>
          <c:layoutTarget val="inner"/>
          <c:xMode val="edge"/>
          <c:yMode val="edge"/>
          <c:x val="0.35398452459763236"/>
          <c:y val="0.11692515299340796"/>
          <c:w val="0.53371470163224921"/>
          <c:h val="0.75658455289489845"/>
        </c:manualLayout>
      </c:layout>
      <c:barChart>
        <c:barDir val="bar"/>
        <c:grouping val="clustered"/>
        <c:varyColors val="0"/>
        <c:ser>
          <c:idx val="1"/>
          <c:order val="0"/>
          <c:spPr>
            <a:solidFill>
              <a:schemeClr val="accent5"/>
            </a:solidFill>
            <a:ln w="9525" cap="flat" cmpd="sng" algn="ctr">
              <a:solidFill>
                <a:schemeClr val="accent5">
                  <a:lumMod val="75000"/>
                </a:schemeClr>
              </a:solidFill>
              <a:round/>
            </a:ln>
            <a:effectLst>
              <a:outerShdw blurRad="40000" dist="20000" dir="5400000" rotWithShape="0">
                <a:srgbClr val="000000">
                  <a:alpha val="38000"/>
                </a:srgbClr>
              </a:outerShdw>
            </a:effectLst>
          </c:spPr>
          <c:invertIfNegative val="0"/>
          <c:cat>
            <c:strRef>
              <c:f>Tornado!$H$66:$H$75</c:f>
              <c:strCache>
                <c:ptCount val="10"/>
                <c:pt idx="0">
                  <c:v>Polymer price</c:v>
                </c:pt>
                <c:pt idx="1">
                  <c:v>Catalyst price</c:v>
                </c:pt>
                <c:pt idx="2">
                  <c:v>Catalyst dosing</c:v>
                </c:pt>
                <c:pt idx="3">
                  <c:v>Utilization</c:v>
                </c:pt>
                <c:pt idx="4">
                  <c:v>Separation yield</c:v>
                </c:pt>
                <c:pt idx="5">
                  <c:v>Operator cost</c:v>
                </c:pt>
                <c:pt idx="6">
                  <c:v>Overall conversion</c:v>
                </c:pt>
                <c:pt idx="7">
                  <c:v>Reactor pressure</c:v>
                </c:pt>
                <c:pt idx="8">
                  <c:v>Monomer price</c:v>
                </c:pt>
                <c:pt idx="9">
                  <c:v>Single pass conversion</c:v>
                </c:pt>
              </c:strCache>
            </c:strRef>
          </c:cat>
          <c:val>
            <c:numRef>
              <c:f>Tornado!$J$66:$J$75</c:f>
              <c:numCache>
                <c:formatCode>#,##0.00</c:formatCode>
                <c:ptCount val="10"/>
                <c:pt idx="0">
                  <c:v>4.0671754948856833</c:v>
                </c:pt>
                <c:pt idx="1">
                  <c:v>4.0671736315465532</c:v>
                </c:pt>
                <c:pt idx="2" formatCode="#,##0">
                  <c:v>4.0669069685698762</c:v>
                </c:pt>
                <c:pt idx="3">
                  <c:v>4.0518263695657017</c:v>
                </c:pt>
                <c:pt idx="4">
                  <c:v>4.0497292827408877</c:v>
                </c:pt>
                <c:pt idx="5">
                  <c:v>4.0093928861900316</c:v>
                </c:pt>
                <c:pt idx="6">
                  <c:v>4.0270058179771926</c:v>
                </c:pt>
                <c:pt idx="7">
                  <c:v>4.0239176482700314</c:v>
                </c:pt>
                <c:pt idx="8">
                  <c:v>3.9445873941913385</c:v>
                </c:pt>
                <c:pt idx="9">
                  <c:v>3.848762561551089</c:v>
                </c:pt>
              </c:numCache>
            </c:numRef>
          </c:val>
          <c:extLst>
            <c:ext xmlns:c16="http://schemas.microsoft.com/office/drawing/2014/chart" uri="{C3380CC4-5D6E-409C-BE32-E72D297353CC}">
              <c16:uniqueId val="{00000000-66FD-409A-93C7-BD967A1F788B}"/>
            </c:ext>
          </c:extLst>
        </c:ser>
        <c:ser>
          <c:idx val="0"/>
          <c:order val="1"/>
          <c:spPr>
            <a:solidFill>
              <a:schemeClr val="accent6"/>
            </a:solidFill>
            <a:ln w="9525" cap="flat" cmpd="sng" algn="ctr">
              <a:solidFill>
                <a:schemeClr val="accent6">
                  <a:lumMod val="75000"/>
                </a:schemeClr>
              </a:solidFill>
              <a:round/>
            </a:ln>
            <a:effectLst>
              <a:outerShdw blurRad="40000" dist="20000" dir="5400000" rotWithShape="0">
                <a:srgbClr val="000000">
                  <a:alpha val="38000"/>
                </a:srgbClr>
              </a:outerShdw>
            </a:effectLst>
          </c:spPr>
          <c:invertIfNegative val="0"/>
          <c:cat>
            <c:strRef>
              <c:f>Tornado!$H$66:$H$75</c:f>
              <c:strCache>
                <c:ptCount val="10"/>
                <c:pt idx="0">
                  <c:v>Polymer price</c:v>
                </c:pt>
                <c:pt idx="1">
                  <c:v>Catalyst price</c:v>
                </c:pt>
                <c:pt idx="2">
                  <c:v>Catalyst dosing</c:v>
                </c:pt>
                <c:pt idx="3">
                  <c:v>Utilization</c:v>
                </c:pt>
                <c:pt idx="4">
                  <c:v>Separation yield</c:v>
                </c:pt>
                <c:pt idx="5">
                  <c:v>Operator cost</c:v>
                </c:pt>
                <c:pt idx="6">
                  <c:v>Overall conversion</c:v>
                </c:pt>
                <c:pt idx="7">
                  <c:v>Reactor pressure</c:v>
                </c:pt>
                <c:pt idx="8">
                  <c:v>Monomer price</c:v>
                </c:pt>
                <c:pt idx="9">
                  <c:v>Single pass conversion</c:v>
                </c:pt>
              </c:strCache>
            </c:strRef>
          </c:cat>
          <c:val>
            <c:numRef>
              <c:f>Tornado!$I$66:$I$75</c:f>
              <c:numCache>
                <c:formatCode>#,##0.00</c:formatCode>
                <c:ptCount val="10"/>
                <c:pt idx="0">
                  <c:v>4.0671754948856833</c:v>
                </c:pt>
                <c:pt idx="1">
                  <c:v>4.0671773582248134</c:v>
                </c:pt>
                <c:pt idx="2" formatCode="#,##0">
                  <c:v>4.0678468106752002</c:v>
                </c:pt>
                <c:pt idx="3">
                  <c:v>4.0946973083574933</c:v>
                </c:pt>
                <c:pt idx="4">
                  <c:v>4.1216259235849879</c:v>
                </c:pt>
                <c:pt idx="5">
                  <c:v>4.124958103581335</c:v>
                </c:pt>
                <c:pt idx="6">
                  <c:v>4.1670785601405438</c:v>
                </c:pt>
                <c:pt idx="7">
                  <c:v>4.1816693993739618</c:v>
                </c:pt>
                <c:pt idx="8">
                  <c:v>4.1897635955800281</c:v>
                </c:pt>
                <c:pt idx="9">
                  <c:v>4.2185470081462624</c:v>
                </c:pt>
              </c:numCache>
            </c:numRef>
          </c:val>
          <c:extLst>
            <c:ext xmlns:c16="http://schemas.microsoft.com/office/drawing/2014/chart" uri="{C3380CC4-5D6E-409C-BE32-E72D297353CC}">
              <c16:uniqueId val="{00000001-66FD-409A-93C7-BD967A1F788B}"/>
            </c:ext>
          </c:extLst>
        </c:ser>
        <c:dLbls>
          <c:showLegendKey val="0"/>
          <c:showVal val="0"/>
          <c:showCatName val="0"/>
          <c:showSerName val="0"/>
          <c:showPercent val="0"/>
          <c:showBubbleSize val="0"/>
        </c:dLbls>
        <c:gapWidth val="85"/>
        <c:overlap val="100"/>
        <c:axId val="241108480"/>
        <c:axId val="241115520"/>
      </c:barChart>
      <c:catAx>
        <c:axId val="241108480"/>
        <c:scaling>
          <c:orientation val="minMax"/>
        </c:scaling>
        <c:delete val="0"/>
        <c:axPos val="l"/>
        <c:numFmt formatCode="General"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50000"/>
                    <a:lumOff val="50000"/>
                  </a:schemeClr>
                </a:solidFill>
                <a:latin typeface="+mn-lt"/>
                <a:ea typeface="+mn-ea"/>
                <a:cs typeface="+mn-cs"/>
              </a:defRPr>
            </a:pPr>
            <a:endParaRPr lang="en-US"/>
          </a:p>
        </c:txPr>
        <c:crossAx val="241115520"/>
        <c:crossesAt val="4.0671754948856833"/>
        <c:auto val="1"/>
        <c:lblAlgn val="ctr"/>
        <c:lblOffset val="100"/>
        <c:noMultiLvlLbl val="0"/>
      </c:catAx>
      <c:valAx>
        <c:axId val="241115520"/>
        <c:scaling>
          <c:orientation val="minMax"/>
          <c:max val="4.4000000000000004"/>
          <c:min val="3.800000000000000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cap="all" baseline="0">
                    <a:solidFill>
                      <a:schemeClr val="tx1">
                        <a:lumMod val="50000"/>
                        <a:lumOff val="50000"/>
                      </a:schemeClr>
                    </a:solidFill>
                    <a:latin typeface="+mn-lt"/>
                    <a:ea typeface="+mn-ea"/>
                    <a:cs typeface="+mn-cs"/>
                  </a:defRPr>
                </a:pPr>
                <a:r>
                  <a:rPr lang="en-US" sz="1050"/>
                  <a:t>All-in cost , $/kg</a:t>
                </a:r>
              </a:p>
            </c:rich>
          </c:tx>
          <c:overlay val="0"/>
          <c:spPr>
            <a:noFill/>
            <a:ln>
              <a:noFill/>
            </a:ln>
            <a:effectLst/>
          </c:spPr>
        </c:title>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50000"/>
                    <a:lumOff val="50000"/>
                  </a:schemeClr>
                </a:solidFill>
                <a:latin typeface="+mn-lt"/>
                <a:ea typeface="+mn-ea"/>
                <a:cs typeface="+mn-cs"/>
              </a:defRPr>
            </a:pPr>
            <a:endParaRPr lang="en-US"/>
          </a:p>
        </c:txPr>
        <c:crossAx val="241108480"/>
        <c:crosses val="autoZero"/>
        <c:crossBetween val="between"/>
        <c:majorUnit val="0.2"/>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529045165226739"/>
          <c:y val="0.1095262592025899"/>
          <c:w val="0.51422508524383992"/>
          <c:h val="0.68457217847769025"/>
        </c:manualLayout>
      </c:layout>
      <c:pieChart>
        <c:varyColors val="1"/>
        <c:ser>
          <c:idx val="0"/>
          <c:order val="0"/>
          <c:explosion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B3-4AE1-BA61-17DF273DFDC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B3-4AE1-BA61-17DF273DFDC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B3-4AE1-BA61-17DF273DFDC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B3-4AE1-BA61-17DF273DFDC0}"/>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'Equipment costs'!$E$7:$H$7</c:f>
              <c:strCache>
                <c:ptCount val="4"/>
                <c:pt idx="0">
                  <c:v>Reactor</c:v>
                </c:pt>
                <c:pt idx="1">
                  <c:v>Compressor</c:v>
                </c:pt>
                <c:pt idx="2">
                  <c:v>Heat exchanger</c:v>
                </c:pt>
                <c:pt idx="3">
                  <c:v>Separation vessel</c:v>
                </c:pt>
              </c:strCache>
            </c:strRef>
          </c:cat>
          <c:val>
            <c:numRef>
              <c:f>'Equipment costs'!$E$26:$H$26</c:f>
              <c:numCache>
                <c:formatCode>"$"#,##0_);[Red]\("$"#,##0\)</c:formatCode>
                <c:ptCount val="4"/>
                <c:pt idx="0">
                  <c:v>277902.36984491791</c:v>
                </c:pt>
                <c:pt idx="1">
                  <c:v>66204.659812220532</c:v>
                </c:pt>
                <c:pt idx="2">
                  <c:v>24048.395323161225</c:v>
                </c:pt>
                <c:pt idx="3">
                  <c:v>30455.013062567796</c:v>
                </c:pt>
              </c:numCache>
            </c:numRef>
          </c:val>
          <c:extLst>
            <c:ext xmlns:c16="http://schemas.microsoft.com/office/drawing/2014/chart" uri="{C3380CC4-5D6E-409C-BE32-E72D297353CC}">
              <c16:uniqueId val="{00000018-22B3-4AE1-BA61-17DF273DFDC0}"/>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048432598843309"/>
          <c:y val="0.1095262592025899"/>
          <c:w val="0.55903134802313381"/>
          <c:h val="0.80110159976619111"/>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C95-44CD-84AD-AD693C3E8E7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C95-44CD-84AD-AD693C3E8E7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C95-44CD-84AD-AD693C3E8E7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C95-44CD-84AD-AD693C3E8E7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C95-44CD-84AD-AD693C3E8E7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C95-44CD-84AD-AD693C3E8E7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C95-44CD-84AD-AD693C3E8E7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C95-44CD-84AD-AD693C3E8E7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C95-44CD-84AD-AD693C3E8E7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C95-44CD-84AD-AD693C3E8E7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C95-44CD-84AD-AD693C3E8E7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C95-44CD-84AD-AD693C3E8E75}"/>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(CapEx!$B$24:$B$31,CapEx!$B$37:$B$40)</c:f>
              <c:strCache>
                <c:ptCount val="12"/>
                <c:pt idx="0">
                  <c:v>Equipment purchase</c:v>
                </c:pt>
                <c:pt idx="1">
                  <c:v>Installation</c:v>
                </c:pt>
                <c:pt idx="2">
                  <c:v>Instrumentation &amp; controls</c:v>
                </c:pt>
                <c:pt idx="3">
                  <c:v>Piping, installed</c:v>
                </c:pt>
                <c:pt idx="4">
                  <c:v>Electrical systems, installed</c:v>
                </c:pt>
                <c:pt idx="5">
                  <c:v>Buildings (including services)</c:v>
                </c:pt>
                <c:pt idx="6">
                  <c:v>Service facilities &amp; yard improvements</c:v>
                </c:pt>
                <c:pt idx="7">
                  <c:v>Land</c:v>
                </c:pt>
                <c:pt idx="8">
                  <c:v>Engineering and supervision</c:v>
                </c:pt>
                <c:pt idx="9">
                  <c:v>Legal expenses</c:v>
                </c:pt>
                <c:pt idx="10">
                  <c:v>Construction expense &amp; contractor's fee</c:v>
                </c:pt>
                <c:pt idx="11">
                  <c:v>Contingency</c:v>
                </c:pt>
              </c:strCache>
            </c:strRef>
          </c:cat>
          <c:val>
            <c:numRef>
              <c:f>(CapEx!$F$24:$F$31,CapEx!$F$37:$F$40)</c:f>
              <c:numCache>
                <c:formatCode>"$"#,##0_);[Red]\("$"#,##0\)</c:formatCode>
                <c:ptCount val="12"/>
                <c:pt idx="0">
                  <c:v>398610.43804286746</c:v>
                </c:pt>
                <c:pt idx="1">
                  <c:v>155458.07083671831</c:v>
                </c:pt>
                <c:pt idx="2">
                  <c:v>103638.71389114554</c:v>
                </c:pt>
                <c:pt idx="3">
                  <c:v>123569.23579328891</c:v>
                </c:pt>
                <c:pt idx="4">
                  <c:v>39861.043804286746</c:v>
                </c:pt>
                <c:pt idx="5">
                  <c:v>115597.02703243155</c:v>
                </c:pt>
                <c:pt idx="6">
                  <c:v>219235.74092357713</c:v>
                </c:pt>
                <c:pt idx="7">
                  <c:v>23916.626282572048</c:v>
                </c:pt>
                <c:pt idx="8">
                  <c:v>389362.67588027293</c:v>
                </c:pt>
                <c:pt idx="9">
                  <c:v>35396.606898206628</c:v>
                </c:pt>
                <c:pt idx="10">
                  <c:v>235977.37932137755</c:v>
                </c:pt>
                <c:pt idx="11">
                  <c:v>294971.72415172192</c:v>
                </c:pt>
              </c:numCache>
            </c:numRef>
          </c:val>
          <c:extLst>
            <c:ext xmlns:c16="http://schemas.microsoft.com/office/drawing/2014/chart" uri="{C3380CC4-5D6E-409C-BE32-E72D297353CC}">
              <c16:uniqueId val="{0000001B-6158-48A4-956B-ED88A9DF1217}"/>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0305200199475022"/>
          <c:y val="0.18872083182820185"/>
          <c:w val="0.47931449559044542"/>
          <c:h val="0.71678680062443278"/>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5A0-4563-A216-B424FE6F90C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5A0-4563-A216-B424FE6F90C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5A0-4563-A216-B424FE6F90C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5A0-4563-A216-B424FE6F90C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5A0-4563-A216-B424FE6F90C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5A0-4563-A216-B424FE6F90C0}"/>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5A0-4563-A216-B424FE6F90C0}"/>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4DD8-42CA-8C39-FEA9B2604453}"/>
              </c:ext>
            </c:extLst>
          </c:dPt>
          <c:dLbls>
            <c:dLbl>
              <c:idx val="0"/>
              <c:layout>
                <c:manualLayout>
                  <c:x val="-8.3205282801936967E-2"/>
                  <c:y val="-8.1151227814247509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5A0-4563-A216-B424FE6F90C0}"/>
                </c:ext>
              </c:extLst>
            </c:dLbl>
            <c:dLbl>
              <c:idx val="6"/>
              <c:layout>
                <c:manualLayout>
                  <c:x val="-3.681048229723189E-2"/>
                  <c:y val="-2.8848836167735165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D-65A0-4563-A216-B424FE6F90C0}"/>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'OpEx &amp; Rev'!$J$14:$J$21</c:f>
              <c:strCache>
                <c:ptCount val="8"/>
                <c:pt idx="0">
                  <c:v>Raw materials</c:v>
                </c:pt>
                <c:pt idx="1">
                  <c:v>Waste treatment</c:v>
                </c:pt>
                <c:pt idx="2">
                  <c:v>Utilities</c:v>
                </c:pt>
                <c:pt idx="3">
                  <c:v>Operating labor</c:v>
                </c:pt>
                <c:pt idx="4">
                  <c:v>Other variable costs</c:v>
                </c:pt>
                <c:pt idx="5">
                  <c:v>Depreciation</c:v>
                </c:pt>
                <c:pt idx="6">
                  <c:v>Other fixed costs</c:v>
                </c:pt>
                <c:pt idx="7">
                  <c:v>General costs</c:v>
                </c:pt>
              </c:strCache>
            </c:strRef>
          </c:cat>
          <c:val>
            <c:numRef>
              <c:f>'OpEx &amp; Rev'!$L$14:$L$21</c:f>
              <c:numCache>
                <c:formatCode>"$"#,##0</c:formatCode>
                <c:ptCount val="8"/>
                <c:pt idx="0">
                  <c:v>564531.44508034061</c:v>
                </c:pt>
                <c:pt idx="1">
                  <c:v>0</c:v>
                </c:pt>
                <c:pt idx="2">
                  <c:v>13247.966552596286</c:v>
                </c:pt>
                <c:pt idx="3">
                  <c:v>432000</c:v>
                </c:pt>
                <c:pt idx="4">
                  <c:v>352192.56309294328</c:v>
                </c:pt>
                <c:pt idx="5">
                  <c:v>213559.5282858467</c:v>
                </c:pt>
                <c:pt idx="6">
                  <c:v>660364.8169545054</c:v>
                </c:pt>
                <c:pt idx="7">
                  <c:v>195919.17970047699</c:v>
                </c:pt>
              </c:numCache>
            </c:numRef>
          </c:val>
          <c:extLst>
            <c:ext xmlns:c16="http://schemas.microsoft.com/office/drawing/2014/chart" uri="{C3380CC4-5D6E-409C-BE32-E72D297353CC}">
              <c16:uniqueId val="{00000018-65A0-4563-A216-B424FE6F90C0}"/>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0933397264966295"/>
          <c:y val="0.19609133858267716"/>
          <c:w val="0.43354519553435028"/>
          <c:h val="0.44204601924759407"/>
        </c:manualLayout>
      </c:layout>
      <c:pieChart>
        <c:varyColors val="1"/>
        <c:dLbls>
          <c:showLegendKey val="0"/>
          <c:showVal val="1"/>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11446370857591"/>
          <c:y val="6.5270491757322718E-2"/>
          <c:w val="0.79873799334829376"/>
          <c:h val="0.73258323888535148"/>
        </c:manualLayout>
      </c:layout>
      <c:lineChart>
        <c:grouping val="standard"/>
        <c:varyColors val="0"/>
        <c:ser>
          <c:idx val="0"/>
          <c:order val="0"/>
          <c:tx>
            <c:v>Non-discounted</c:v>
          </c:tx>
          <c:spPr>
            <a:ln w="15875" cap="rnd">
              <a:solidFill>
                <a:schemeClr val="accent1"/>
              </a:solidFill>
              <a:round/>
            </a:ln>
            <a:effectLst/>
          </c:spPr>
          <c:marker>
            <c:symbol val="none"/>
          </c:marker>
          <c:val>
            <c:numRef>
              <c:f>'Cash flow'!$E$37:$N$37</c:f>
              <c:numCache>
                <c:formatCode>#,##0.00</c:formatCode>
                <c:ptCount val="10"/>
                <c:pt idx="0">
                  <c:v>-2.4559345752872366</c:v>
                </c:pt>
                <c:pt idx="1">
                  <c:v>-1.9432756497299872</c:v>
                </c:pt>
                <c:pt idx="2">
                  <c:v>-0.83680517786686681</c:v>
                </c:pt>
                <c:pt idx="3">
                  <c:v>0.26966529399625361</c:v>
                </c:pt>
                <c:pt idx="4">
                  <c:v>1.376135765859374</c:v>
                </c:pt>
                <c:pt idx="5">
                  <c:v>2.4826062377224947</c:v>
                </c:pt>
                <c:pt idx="6">
                  <c:v>3.5890767095856151</c:v>
                </c:pt>
                <c:pt idx="7">
                  <c:v>4.6955471814487355</c:v>
                </c:pt>
                <c:pt idx="8">
                  <c:v>5.8020176533118555</c:v>
                </c:pt>
                <c:pt idx="9">
                  <c:v>7.3356071817466688</c:v>
                </c:pt>
              </c:numCache>
            </c:numRef>
          </c:val>
          <c:smooth val="0"/>
          <c:extLst>
            <c:ext xmlns:c16="http://schemas.microsoft.com/office/drawing/2014/chart" uri="{C3380CC4-5D6E-409C-BE32-E72D297353CC}">
              <c16:uniqueId val="{00000000-76B7-4298-BC64-5958B66E0738}"/>
            </c:ext>
          </c:extLst>
        </c:ser>
        <c:ser>
          <c:idx val="1"/>
          <c:order val="1"/>
          <c:tx>
            <c:v>Discounted</c:v>
          </c:tx>
          <c:spPr>
            <a:ln w="15875" cap="rnd">
              <a:solidFill>
                <a:schemeClr val="accent2"/>
              </a:solidFill>
              <a:round/>
            </a:ln>
            <a:effectLst/>
          </c:spPr>
          <c:marker>
            <c:symbol val="none"/>
          </c:marker>
          <c:val>
            <c:numRef>
              <c:f>'Cash flow'!$E$39:$N$39</c:f>
              <c:numCache>
                <c:formatCode>#,##0.00</c:formatCode>
                <c:ptCount val="10"/>
                <c:pt idx="0">
                  <c:v>-2.4559345752872366</c:v>
                </c:pt>
                <c:pt idx="1">
                  <c:v>-1.9898810065988282</c:v>
                </c:pt>
                <c:pt idx="2">
                  <c:v>-1.0754426001003816</c:v>
                </c:pt>
                <c:pt idx="3">
                  <c:v>-0.2441349578290668</c:v>
                </c:pt>
                <c:pt idx="4">
                  <c:v>0.51159926241758313</c:v>
                </c:pt>
                <c:pt idx="5">
                  <c:v>1.1986303717327194</c:v>
                </c:pt>
                <c:pt idx="6">
                  <c:v>1.8232041074737522</c:v>
                </c:pt>
                <c:pt idx="7">
                  <c:v>2.3909984126928729</c:v>
                </c:pt>
                <c:pt idx="8">
                  <c:v>2.9071750538011645</c:v>
                </c:pt>
                <c:pt idx="9">
                  <c:v>3.5575667203713506</c:v>
                </c:pt>
              </c:numCache>
            </c:numRef>
          </c:val>
          <c:smooth val="0"/>
          <c:extLst>
            <c:ext xmlns:c16="http://schemas.microsoft.com/office/drawing/2014/chart" uri="{C3380CC4-5D6E-409C-BE32-E72D297353CC}">
              <c16:uniqueId val="{00000001-76B7-4298-BC64-5958B66E0738}"/>
            </c:ext>
          </c:extLst>
        </c:ser>
        <c:dLbls>
          <c:showLegendKey val="0"/>
          <c:showVal val="0"/>
          <c:showCatName val="0"/>
          <c:showSerName val="0"/>
          <c:showPercent val="0"/>
          <c:showBubbleSize val="0"/>
        </c:dLbls>
        <c:smooth val="0"/>
        <c:axId val="644488344"/>
        <c:axId val="644484408"/>
      </c:lineChart>
      <c:catAx>
        <c:axId val="6444883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44484408"/>
        <c:crossesAt val="-100"/>
        <c:auto val="1"/>
        <c:lblAlgn val="ctr"/>
        <c:lblOffset val="100"/>
        <c:tickMarkSkip val="1"/>
        <c:noMultiLvlLbl val="0"/>
      </c:catAx>
      <c:valAx>
        <c:axId val="644484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Cumulative cash flow,</a:t>
                </a:r>
                <a:r>
                  <a:rPr lang="en-US" baseline="0"/>
                  <a:t> MM USD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44488344"/>
        <c:crosses val="autoZero"/>
        <c:crossBetween val="midCat"/>
      </c:valAx>
      <c:spPr>
        <a:noFill/>
        <a:ln>
          <a:noFill/>
        </a:ln>
        <a:effectLst/>
      </c:spPr>
    </c:plotArea>
    <c:legend>
      <c:legendPos val="r"/>
      <c:layout>
        <c:manualLayout>
          <c:xMode val="edge"/>
          <c:yMode val="edge"/>
          <c:x val="0.20369683567742256"/>
          <c:y val="0.10911805876119693"/>
          <c:w val="0.38555962452000009"/>
          <c:h val="0.20026313773054924"/>
        </c:manualLayout>
      </c:layout>
      <c:overlay val="0"/>
      <c:spPr>
        <a:solidFill>
          <a:schemeClr val="bg1"/>
        </a:solidFill>
        <a:ln>
          <a:solidFill>
            <a:schemeClr val="bg1">
              <a:lumMod val="75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drawing5.xml.rels><?xml version="1.0" encoding="UTF-8" standalone="yes"?>
<Relationships xmlns="http://schemas.openxmlformats.org/package/2006/relationships"><Relationship Id="rId1" Type="http://schemas.openxmlformats.org/officeDocument/2006/relationships/image" Target="../media/image4.emf"/></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1</xdr:col>
      <xdr:colOff>575765</xdr:colOff>
      <xdr:row>47</xdr:row>
      <xdr:rowOff>52786</xdr:rowOff>
    </xdr:from>
    <xdr:to>
      <xdr:col>2</xdr:col>
      <xdr:colOff>5200650</xdr:colOff>
      <xdr:row>66</xdr:row>
      <xdr:rowOff>180343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stretch>
          <a:fillRect/>
        </a:stretch>
      </xdr:blipFill>
      <xdr:spPr>
        <a:xfrm>
          <a:off x="766265" y="12940111"/>
          <a:ext cx="6339385" cy="374705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5</xdr:col>
      <xdr:colOff>610162</xdr:colOff>
      <xdr:row>12</xdr:row>
      <xdr:rowOff>161925</xdr:rowOff>
    </xdr:from>
    <xdr:to>
      <xdr:col>11</xdr:col>
      <xdr:colOff>273985</xdr:colOff>
      <xdr:row>27</xdr:row>
      <xdr:rowOff>150156</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114809</xdr:colOff>
      <xdr:row>2</xdr:row>
      <xdr:rowOff>172011</xdr:rowOff>
    </xdr:from>
    <xdr:to>
      <xdr:col>7</xdr:col>
      <xdr:colOff>104774</xdr:colOff>
      <xdr:row>21</xdr:row>
      <xdr:rowOff>29135</xdr:rowOff>
    </xdr:to>
    <xdr:graphicFrame macro="">
      <xdr:nvGraphicFramePr>
        <xdr:cNvPr id="2" name="Tornado">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xdr:from>
          <xdr:col>7</xdr:col>
          <xdr:colOff>314325</xdr:colOff>
          <xdr:row>16</xdr:row>
          <xdr:rowOff>133350</xdr:rowOff>
        </xdr:from>
        <xdr:to>
          <xdr:col>7</xdr:col>
          <xdr:colOff>1438275</xdr:colOff>
          <xdr:row>18</xdr:row>
          <xdr:rowOff>104775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2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Tornado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6</xdr:col>
      <xdr:colOff>428624</xdr:colOff>
      <xdr:row>83</xdr:row>
      <xdr:rowOff>57150</xdr:rowOff>
    </xdr:from>
    <xdr:to>
      <xdr:col>9</xdr:col>
      <xdr:colOff>180975</xdr:colOff>
      <xdr:row>84</xdr:row>
      <xdr:rowOff>108913</xdr:rowOff>
    </xdr:to>
    <xdr:pic>
      <xdr:nvPicPr>
        <xdr:cNvPr id="7" name="Picture 6">
          <a:extLst>
            <a:ext uri="{FF2B5EF4-FFF2-40B4-BE49-F238E27FC236}">
              <a16:creationId xmlns:a16="http://schemas.microsoft.com/office/drawing/2014/main" id="{00000000-0008-0000-0300-000007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60960" b="25641"/>
        <a:stretch/>
      </xdr:blipFill>
      <xdr:spPr bwMode="auto">
        <a:xfrm>
          <a:off x="4429124" y="6819900"/>
          <a:ext cx="2038351" cy="2422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145676</xdr:colOff>
      <xdr:row>13</xdr:row>
      <xdr:rowOff>112058</xdr:rowOff>
    </xdr:from>
    <xdr:to>
      <xdr:col>11</xdr:col>
      <xdr:colOff>480956</xdr:colOff>
      <xdr:row>19</xdr:row>
      <xdr:rowOff>11206</xdr:rowOff>
    </xdr:to>
    <xdr:grpSp>
      <xdr:nvGrpSpPr>
        <xdr:cNvPr id="4" name="Group 3">
          <a:extLst>
            <a:ext uri="{FF2B5EF4-FFF2-40B4-BE49-F238E27FC236}">
              <a16:creationId xmlns:a16="http://schemas.microsoft.com/office/drawing/2014/main" id="{00000000-0008-0000-0300-000004000000}"/>
            </a:ext>
          </a:extLst>
        </xdr:cNvPr>
        <xdr:cNvGrpSpPr/>
      </xdr:nvGrpSpPr>
      <xdr:grpSpPr>
        <a:xfrm>
          <a:off x="7395882" y="2980764"/>
          <a:ext cx="1097280" cy="1120589"/>
          <a:chOff x="11822206" y="2476500"/>
          <a:chExt cx="1097280" cy="1120589"/>
        </a:xfrm>
      </xdr:grpSpPr>
      <xdr:sp macro="" textlink="">
        <xdr:nvSpPr>
          <xdr:cNvPr id="8" name="Arrow: Down 7">
            <a:extLst>
              <a:ext uri="{FF2B5EF4-FFF2-40B4-BE49-F238E27FC236}">
                <a16:creationId xmlns:a16="http://schemas.microsoft.com/office/drawing/2014/main" id="{00000000-0008-0000-0300-000008000000}"/>
              </a:ext>
            </a:extLst>
          </xdr:cNvPr>
          <xdr:cNvSpPr/>
        </xdr:nvSpPr>
        <xdr:spPr>
          <a:xfrm>
            <a:off x="12250832" y="2911288"/>
            <a:ext cx="238124" cy="685801"/>
          </a:xfrm>
          <a:prstGeom prst="downArrow">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11822206" y="2476500"/>
            <a:ext cx="109728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a:solidFill>
                  <a:schemeClr val="tx1">
                    <a:lumMod val="50000"/>
                    <a:lumOff val="50000"/>
                  </a:schemeClr>
                </a:solidFill>
              </a:rPr>
              <a:t>More content below</a:t>
            </a:r>
            <a:endParaRPr lang="en-US" sz="1000" baseline="0">
              <a:solidFill>
                <a:schemeClr val="tx1">
                  <a:lumMod val="50000"/>
                  <a:lumOff val="50000"/>
                </a:schemeClr>
              </a:solidFill>
            </a:endParaRPr>
          </a:p>
        </xdr:txBody>
      </xdr:sp>
    </xdr:grpSp>
    <xdr:clientData/>
  </xdr:twoCellAnchor>
  <xdr:twoCellAnchor editAs="oneCell">
    <xdr:from>
      <xdr:col>1</xdr:col>
      <xdr:colOff>571501</xdr:colOff>
      <xdr:row>27</xdr:row>
      <xdr:rowOff>134471</xdr:rowOff>
    </xdr:from>
    <xdr:to>
      <xdr:col>7</xdr:col>
      <xdr:colOff>705972</xdr:colOff>
      <xdr:row>38</xdr:row>
      <xdr:rowOff>164027</xdr:rowOff>
    </xdr:to>
    <xdr:pic>
      <xdr:nvPicPr>
        <xdr:cNvPr id="10" name="Picture 9">
          <a:extLst>
            <a:ext uri="{FF2B5EF4-FFF2-40B4-BE49-F238E27FC236}">
              <a16:creationId xmlns:a16="http://schemas.microsoft.com/office/drawing/2014/main" id="{00000000-0008-0000-03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62001" y="5793442"/>
          <a:ext cx="4908177" cy="21250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12</xdr:row>
      <xdr:rowOff>112058</xdr:rowOff>
    </xdr:from>
    <xdr:to>
      <xdr:col>1</xdr:col>
      <xdr:colOff>906780</xdr:colOff>
      <xdr:row>18</xdr:row>
      <xdr:rowOff>89647</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0" y="2846293"/>
          <a:ext cx="1097280" cy="1120589"/>
          <a:chOff x="11822206" y="2476500"/>
          <a:chExt cx="1097280" cy="1120589"/>
        </a:xfrm>
      </xdr:grpSpPr>
      <xdr:sp macro="" textlink="">
        <xdr:nvSpPr>
          <xdr:cNvPr id="4" name="Arrow: Down 3">
            <a:extLst>
              <a:ext uri="{FF2B5EF4-FFF2-40B4-BE49-F238E27FC236}">
                <a16:creationId xmlns:a16="http://schemas.microsoft.com/office/drawing/2014/main" id="{00000000-0008-0000-0400-000004000000}"/>
              </a:ext>
            </a:extLst>
          </xdr:cNvPr>
          <xdr:cNvSpPr/>
        </xdr:nvSpPr>
        <xdr:spPr>
          <a:xfrm>
            <a:off x="12250832" y="2911288"/>
            <a:ext cx="238124" cy="685801"/>
          </a:xfrm>
          <a:prstGeom prst="downArrow">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11822206" y="2476500"/>
            <a:ext cx="109728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a:solidFill>
                  <a:schemeClr val="tx1">
                    <a:lumMod val="50000"/>
                    <a:lumOff val="50000"/>
                  </a:schemeClr>
                </a:solidFill>
              </a:rPr>
              <a:t>More content below</a:t>
            </a:r>
            <a:endParaRPr lang="en-US" sz="1000" baseline="0">
              <a:solidFill>
                <a:schemeClr val="tx1">
                  <a:lumMod val="50000"/>
                  <a:lumOff val="50000"/>
                </a:schemeClr>
              </a:solidFill>
            </a:endParaRPr>
          </a:p>
        </xdr:txBody>
      </xdr:sp>
    </xdr:grpSp>
    <xdr:clientData/>
  </xdr:twoCellAnchor>
  <xdr:twoCellAnchor editAs="oneCell">
    <xdr:from>
      <xdr:col>8</xdr:col>
      <xdr:colOff>728383</xdr:colOff>
      <xdr:row>1</xdr:row>
      <xdr:rowOff>175418</xdr:rowOff>
    </xdr:from>
    <xdr:to>
      <xdr:col>13</xdr:col>
      <xdr:colOff>661789</xdr:colOff>
      <xdr:row>19</xdr:row>
      <xdr:rowOff>11206</xdr:rowOff>
    </xdr:to>
    <xdr:pic>
      <xdr:nvPicPr>
        <xdr:cNvPr id="6" name="Picture 5">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586383" y="511594"/>
          <a:ext cx="4124406" cy="35673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7</xdr:col>
      <xdr:colOff>504825</xdr:colOff>
      <xdr:row>6</xdr:row>
      <xdr:rowOff>155763</xdr:rowOff>
    </xdr:from>
    <xdr:to>
      <xdr:col>12</xdr:col>
      <xdr:colOff>560855</xdr:colOff>
      <xdr:row>25</xdr:row>
      <xdr:rowOff>60513</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1165411</xdr:colOff>
      <xdr:row>23</xdr:row>
      <xdr:rowOff>163602</xdr:rowOff>
    </xdr:from>
    <xdr:to>
      <xdr:col>12</xdr:col>
      <xdr:colOff>459441</xdr:colOff>
      <xdr:row>43</xdr:row>
      <xdr:rowOff>33614</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918883</xdr:colOff>
      <xdr:row>13</xdr:row>
      <xdr:rowOff>67236</xdr:rowOff>
    </xdr:from>
    <xdr:to>
      <xdr:col>8</xdr:col>
      <xdr:colOff>873163</xdr:colOff>
      <xdr:row>19</xdr:row>
      <xdr:rowOff>44825</xdr:rowOff>
    </xdr:to>
    <xdr:grpSp>
      <xdr:nvGrpSpPr>
        <xdr:cNvPr id="3" name="Group 2">
          <a:extLst>
            <a:ext uri="{FF2B5EF4-FFF2-40B4-BE49-F238E27FC236}">
              <a16:creationId xmlns:a16="http://schemas.microsoft.com/office/drawing/2014/main" id="{00000000-0008-0000-0600-000003000000}"/>
            </a:ext>
          </a:extLst>
        </xdr:cNvPr>
        <xdr:cNvGrpSpPr/>
      </xdr:nvGrpSpPr>
      <xdr:grpSpPr>
        <a:xfrm>
          <a:off x="8908677" y="2902324"/>
          <a:ext cx="1097280" cy="1120589"/>
          <a:chOff x="11822206" y="2476500"/>
          <a:chExt cx="1097280" cy="1120589"/>
        </a:xfrm>
      </xdr:grpSpPr>
      <xdr:sp macro="" textlink="">
        <xdr:nvSpPr>
          <xdr:cNvPr id="4" name="Arrow: Down 3">
            <a:extLst>
              <a:ext uri="{FF2B5EF4-FFF2-40B4-BE49-F238E27FC236}">
                <a16:creationId xmlns:a16="http://schemas.microsoft.com/office/drawing/2014/main" id="{00000000-0008-0000-0600-000004000000}"/>
              </a:ext>
            </a:extLst>
          </xdr:cNvPr>
          <xdr:cNvSpPr/>
        </xdr:nvSpPr>
        <xdr:spPr>
          <a:xfrm>
            <a:off x="12250832" y="2911288"/>
            <a:ext cx="238124" cy="685801"/>
          </a:xfrm>
          <a:prstGeom prst="downArrow">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11822206" y="2476500"/>
            <a:ext cx="109728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a:solidFill>
                  <a:schemeClr val="tx1">
                    <a:lumMod val="50000"/>
                    <a:lumOff val="50000"/>
                  </a:schemeClr>
                </a:solidFill>
              </a:rPr>
              <a:t>More content below</a:t>
            </a:r>
            <a:endParaRPr lang="en-US" sz="1000" baseline="0">
              <a:solidFill>
                <a:schemeClr val="tx1">
                  <a:lumMod val="50000"/>
                  <a:lumOff val="50000"/>
                </a:schemeClr>
              </a:solidFill>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7</xdr:col>
      <xdr:colOff>396688</xdr:colOff>
      <xdr:row>9</xdr:row>
      <xdr:rowOff>177612</xdr:rowOff>
    </xdr:from>
    <xdr:to>
      <xdr:col>12</xdr:col>
      <xdr:colOff>903195</xdr:colOff>
      <xdr:row>24</xdr:row>
      <xdr:rowOff>154639</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190500</xdr:colOff>
      <xdr:row>21</xdr:row>
      <xdr:rowOff>44823</xdr:rowOff>
    </xdr:from>
    <xdr:to>
      <xdr:col>14</xdr:col>
      <xdr:colOff>525780</xdr:colOff>
      <xdr:row>26</xdr:row>
      <xdr:rowOff>112059</xdr:rowOff>
    </xdr:to>
    <xdr:grpSp>
      <xdr:nvGrpSpPr>
        <xdr:cNvPr id="3" name="Group 2">
          <a:extLst>
            <a:ext uri="{FF2B5EF4-FFF2-40B4-BE49-F238E27FC236}">
              <a16:creationId xmlns:a16="http://schemas.microsoft.com/office/drawing/2014/main" id="{00000000-0008-0000-0700-000003000000}"/>
            </a:ext>
          </a:extLst>
        </xdr:cNvPr>
        <xdr:cNvGrpSpPr/>
      </xdr:nvGrpSpPr>
      <xdr:grpSpPr>
        <a:xfrm>
          <a:off x="11407588" y="4628029"/>
          <a:ext cx="1097280" cy="1120589"/>
          <a:chOff x="11822206" y="2476500"/>
          <a:chExt cx="1097280" cy="1120589"/>
        </a:xfrm>
      </xdr:grpSpPr>
      <xdr:sp macro="" textlink="">
        <xdr:nvSpPr>
          <xdr:cNvPr id="4" name="Arrow: Down 3">
            <a:extLst>
              <a:ext uri="{FF2B5EF4-FFF2-40B4-BE49-F238E27FC236}">
                <a16:creationId xmlns:a16="http://schemas.microsoft.com/office/drawing/2014/main" id="{00000000-0008-0000-0700-000004000000}"/>
              </a:ext>
            </a:extLst>
          </xdr:cNvPr>
          <xdr:cNvSpPr/>
        </xdr:nvSpPr>
        <xdr:spPr>
          <a:xfrm>
            <a:off x="12250832" y="2911288"/>
            <a:ext cx="238124" cy="685801"/>
          </a:xfrm>
          <a:prstGeom prst="downArrow">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11822206" y="2476500"/>
            <a:ext cx="109728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a:solidFill>
                  <a:schemeClr val="tx1">
                    <a:lumMod val="50000"/>
                    <a:lumOff val="50000"/>
                  </a:schemeClr>
                </a:solidFill>
              </a:rPr>
              <a:t>More content below</a:t>
            </a:r>
            <a:endParaRPr lang="en-US" sz="1000" baseline="0">
              <a:solidFill>
                <a:schemeClr val="tx1">
                  <a:lumMod val="50000"/>
                  <a:lumOff val="50000"/>
                </a:schemeClr>
              </a:solidFill>
            </a:endParaRPr>
          </a:p>
        </xdr:txBody>
      </xdr:sp>
    </xdr:grpSp>
    <xdr:clientData/>
  </xdr:twoCellAnchor>
  <xdr:twoCellAnchor editAs="absolute">
    <xdr:from>
      <xdr:col>8</xdr:col>
      <xdr:colOff>257736</xdr:colOff>
      <xdr:row>68</xdr:row>
      <xdr:rowOff>179294</xdr:rowOff>
    </xdr:from>
    <xdr:to>
      <xdr:col>15</xdr:col>
      <xdr:colOff>11206</xdr:colOff>
      <xdr:row>98</xdr:row>
      <xdr:rowOff>179294</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9</xdr:col>
      <xdr:colOff>224117</xdr:colOff>
      <xdr:row>1</xdr:row>
      <xdr:rowOff>112058</xdr:rowOff>
    </xdr:from>
    <xdr:to>
      <xdr:col>14</xdr:col>
      <xdr:colOff>78440</xdr:colOff>
      <xdr:row>13</xdr:row>
      <xdr:rowOff>33618</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burkengineeringllc.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49"/>
  <sheetViews>
    <sheetView showGridLines="0" tabSelected="1" zoomScaleNormal="100" workbookViewId="0">
      <selection activeCell="A30" sqref="A30"/>
    </sheetView>
  </sheetViews>
  <sheetFormatPr defaultColWidth="0" defaultRowHeight="15" x14ac:dyDescent="0.25"/>
  <cols>
    <col min="1" max="1" width="2.85546875" customWidth="1"/>
    <col min="2" max="2" width="25.7109375" customWidth="1"/>
    <col min="3" max="3" width="102.85546875" customWidth="1"/>
    <col min="4" max="4" width="2.85546875" customWidth="1"/>
    <col min="5" max="10" width="0" hidden="1" customWidth="1"/>
    <col min="11" max="16384" width="11.42578125" hidden="1"/>
  </cols>
  <sheetData>
    <row r="1" spans="1:4" ht="21.75" customHeight="1" x14ac:dyDescent="0.25">
      <c r="A1" s="374"/>
      <c r="B1" s="381" t="s">
        <v>376</v>
      </c>
      <c r="C1" s="381"/>
      <c r="D1" s="374"/>
    </row>
    <row r="2" spans="1:4" ht="46.5" customHeight="1" x14ac:dyDescent="0.25">
      <c r="A2" s="375"/>
      <c r="B2" s="382" t="s">
        <v>377</v>
      </c>
      <c r="C2" s="382"/>
      <c r="D2" s="376"/>
    </row>
    <row r="3" spans="1:4" ht="25.5" customHeight="1" x14ac:dyDescent="0.25">
      <c r="A3" s="374"/>
      <c r="B3" s="382" t="s">
        <v>378</v>
      </c>
      <c r="C3" s="382"/>
      <c r="D3" s="374"/>
    </row>
    <row r="4" spans="1:4" s="379" customFormat="1" ht="21" customHeight="1" x14ac:dyDescent="0.25">
      <c r="A4" s="377"/>
      <c r="B4" s="383" t="s">
        <v>379</v>
      </c>
      <c r="C4" s="383"/>
      <c r="D4" s="378"/>
    </row>
    <row r="5" spans="1:4" ht="26.25" x14ac:dyDescent="0.4">
      <c r="A5" s="380" t="s">
        <v>336</v>
      </c>
    </row>
    <row r="6" spans="1:4" ht="15" customHeight="1" x14ac:dyDescent="0.25">
      <c r="B6" s="347" t="s">
        <v>362</v>
      </c>
    </row>
    <row r="8" spans="1:4" ht="21" x14ac:dyDescent="0.35">
      <c r="B8" s="117" t="s">
        <v>355</v>
      </c>
      <c r="C8" s="117"/>
    </row>
    <row r="9" spans="1:4" x14ac:dyDescent="0.25">
      <c r="B9" s="355" t="s">
        <v>340</v>
      </c>
      <c r="C9" s="348" t="s">
        <v>351</v>
      </c>
    </row>
    <row r="10" spans="1:4" ht="15" customHeight="1" x14ac:dyDescent="0.25">
      <c r="B10" s="356" t="s">
        <v>341</v>
      </c>
      <c r="C10" s="349" t="s">
        <v>327</v>
      </c>
    </row>
    <row r="11" spans="1:4" x14ac:dyDescent="0.25">
      <c r="B11" s="356" t="s">
        <v>337</v>
      </c>
      <c r="C11" s="350" t="s">
        <v>350</v>
      </c>
    </row>
    <row r="12" spans="1:4" x14ac:dyDescent="0.25">
      <c r="B12" s="356" t="s">
        <v>339</v>
      </c>
      <c r="C12" s="351">
        <v>43239</v>
      </c>
    </row>
    <row r="13" spans="1:4" x14ac:dyDescent="0.25">
      <c r="B13" s="356" t="s">
        <v>338</v>
      </c>
      <c r="C13" s="349" t="s">
        <v>380</v>
      </c>
    </row>
    <row r="14" spans="1:4" x14ac:dyDescent="0.25">
      <c r="B14" s="356" t="s">
        <v>342</v>
      </c>
      <c r="C14" s="349" t="s">
        <v>381</v>
      </c>
    </row>
    <row r="15" spans="1:4" ht="45" x14ac:dyDescent="0.25">
      <c r="B15" s="356" t="s">
        <v>358</v>
      </c>
      <c r="C15" s="349" t="s">
        <v>357</v>
      </c>
    </row>
    <row r="16" spans="1:4" x14ac:dyDescent="0.25">
      <c r="B16" s="357"/>
      <c r="C16" s="62"/>
    </row>
    <row r="17" spans="2:3" x14ac:dyDescent="0.25">
      <c r="B17" s="357"/>
      <c r="C17" s="62"/>
    </row>
    <row r="18" spans="2:3" x14ac:dyDescent="0.25">
      <c r="B18" s="357"/>
      <c r="C18" s="352"/>
    </row>
    <row r="19" spans="2:3" x14ac:dyDescent="0.25">
      <c r="B19" s="357"/>
      <c r="C19" s="352"/>
    </row>
    <row r="20" spans="2:3" ht="21" x14ac:dyDescent="0.35">
      <c r="B20" s="117" t="s">
        <v>356</v>
      </c>
      <c r="C20" s="117"/>
    </row>
    <row r="21" spans="2:3" x14ac:dyDescent="0.25">
      <c r="B21" s="365" t="s">
        <v>352</v>
      </c>
      <c r="C21" s="367" t="s">
        <v>349</v>
      </c>
    </row>
    <row r="22" spans="2:3" x14ac:dyDescent="0.25">
      <c r="B22" s="356" t="s">
        <v>335</v>
      </c>
      <c r="C22" s="366" t="s">
        <v>332</v>
      </c>
    </row>
    <row r="23" spans="2:3" ht="98.25" customHeight="1" x14ac:dyDescent="0.25">
      <c r="B23" s="356" t="s">
        <v>333</v>
      </c>
      <c r="C23" s="349" t="s">
        <v>343</v>
      </c>
    </row>
    <row r="24" spans="2:3" ht="90" x14ac:dyDescent="0.25">
      <c r="B24" s="356" t="s">
        <v>326</v>
      </c>
      <c r="C24" s="349" t="s">
        <v>368</v>
      </c>
    </row>
    <row r="25" spans="2:3" x14ac:dyDescent="0.25">
      <c r="B25" s="357"/>
      <c r="C25" s="62"/>
    </row>
    <row r="26" spans="2:3" x14ac:dyDescent="0.25">
      <c r="B26" s="357"/>
      <c r="C26" s="62"/>
    </row>
    <row r="27" spans="2:3" x14ac:dyDescent="0.25">
      <c r="B27" s="357"/>
      <c r="C27" s="352"/>
    </row>
    <row r="28" spans="2:3" x14ac:dyDescent="0.25">
      <c r="B28" s="357"/>
      <c r="C28" s="352"/>
    </row>
    <row r="29" spans="2:3" ht="21" x14ac:dyDescent="0.35">
      <c r="B29" s="117" t="s">
        <v>354</v>
      </c>
      <c r="C29" s="117"/>
    </row>
    <row r="30" spans="2:3" ht="30" x14ac:dyDescent="0.25">
      <c r="B30" s="355" t="s">
        <v>344</v>
      </c>
      <c r="C30" s="348" t="s">
        <v>369</v>
      </c>
    </row>
    <row r="31" spans="2:3" x14ac:dyDescent="0.25">
      <c r="B31" s="356" t="s">
        <v>329</v>
      </c>
      <c r="C31" s="353" t="s">
        <v>328</v>
      </c>
    </row>
    <row r="32" spans="2:3" x14ac:dyDescent="0.25">
      <c r="B32" s="356" t="s">
        <v>330</v>
      </c>
      <c r="C32" s="353" t="s">
        <v>370</v>
      </c>
    </row>
    <row r="33" spans="2:3" ht="45" x14ac:dyDescent="0.25">
      <c r="B33" s="356" t="s">
        <v>334</v>
      </c>
      <c r="C33" s="353" t="s">
        <v>360</v>
      </c>
    </row>
    <row r="34" spans="2:3" x14ac:dyDescent="0.25">
      <c r="B34" s="357"/>
      <c r="C34" s="352"/>
    </row>
    <row r="35" spans="2:3" x14ac:dyDescent="0.25">
      <c r="B35" s="357"/>
      <c r="C35" s="352"/>
    </row>
    <row r="38" spans="2:3" ht="21" x14ac:dyDescent="0.35">
      <c r="B38" s="117" t="s">
        <v>353</v>
      </c>
      <c r="C38" s="117"/>
    </row>
    <row r="39" spans="2:3" x14ac:dyDescent="0.25">
      <c r="B39" s="355" t="s">
        <v>329</v>
      </c>
      <c r="C39" s="354" t="s">
        <v>331</v>
      </c>
    </row>
    <row r="40" spans="2:3" x14ac:dyDescent="0.25">
      <c r="B40" s="356" t="s">
        <v>330</v>
      </c>
      <c r="C40" s="353" t="s">
        <v>370</v>
      </c>
    </row>
    <row r="41" spans="2:3" ht="45" x14ac:dyDescent="0.25">
      <c r="B41" s="356" t="s">
        <v>334</v>
      </c>
      <c r="C41" s="353" t="s">
        <v>359</v>
      </c>
    </row>
    <row r="42" spans="2:3" x14ac:dyDescent="0.25">
      <c r="B42" s="357"/>
    </row>
    <row r="44" spans="2:3" x14ac:dyDescent="0.25">
      <c r="B44" s="357"/>
    </row>
    <row r="45" spans="2:3" x14ac:dyDescent="0.25">
      <c r="B45" s="357"/>
    </row>
    <row r="46" spans="2:3" ht="21" x14ac:dyDescent="0.35">
      <c r="B46" s="117" t="s">
        <v>361</v>
      </c>
      <c r="C46" s="117"/>
    </row>
    <row r="47" spans="2:3" x14ac:dyDescent="0.25">
      <c r="B47" s="357"/>
    </row>
    <row r="48" spans="2:3" x14ac:dyDescent="0.25">
      <c r="B48" s="357"/>
    </row>
    <row r="49" spans="2:2" x14ac:dyDescent="0.25">
      <c r="B49" s="357"/>
    </row>
  </sheetData>
  <mergeCells count="4">
    <mergeCell ref="B1:C1"/>
    <mergeCell ref="B2:C2"/>
    <mergeCell ref="B3:C3"/>
    <mergeCell ref="B4:C4"/>
  </mergeCells>
  <hyperlinks>
    <hyperlink ref="B4:C4" r:id="rId1" display="Chris Burk PE  |  cburk@BurkEngineeringLLC.com  |  www.BurkEngineeringLLC.com"/>
  </hyperlinks>
  <pageMargins left="0.7" right="0.7" top="0.75" bottom="0.75" header="0.3" footer="0.3"/>
  <pageSetup orientation="portrait" horizontalDpi="4294967293" verticalDpi="0" r:id="rId2"/>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4.9989318521683403E-2"/>
  </sheetPr>
  <dimension ref="A1:T31"/>
  <sheetViews>
    <sheetView showGridLines="0" zoomScale="90" zoomScaleNormal="90" workbookViewId="0">
      <selection activeCell="A30" sqref="A30"/>
    </sheetView>
  </sheetViews>
  <sheetFormatPr defaultColWidth="11.42578125" defaultRowHeight="15" x14ac:dyDescent="0.25"/>
  <cols>
    <col min="1" max="1" width="2.85546875" customWidth="1"/>
    <col min="10" max="10" width="13.85546875" bestFit="1" customWidth="1"/>
  </cols>
  <sheetData>
    <row r="1" spans="1:20" s="159" customFormat="1" ht="26.25" x14ac:dyDescent="0.4">
      <c r="A1" s="158" t="s">
        <v>257</v>
      </c>
      <c r="K1" s="160"/>
      <c r="P1" s="161"/>
      <c r="S1" s="162"/>
      <c r="T1" s="163"/>
    </row>
    <row r="2" spans="1:20" ht="15.75" x14ac:dyDescent="0.25">
      <c r="B2" s="164" t="s">
        <v>276</v>
      </c>
    </row>
    <row r="4" spans="1:20" ht="23.25" x14ac:dyDescent="0.35">
      <c r="B4" s="218" t="s">
        <v>254</v>
      </c>
      <c r="C4" s="88"/>
      <c r="D4" s="90"/>
      <c r="E4" s="90"/>
      <c r="F4" s="165"/>
      <c r="H4" s="238" t="s">
        <v>255</v>
      </c>
      <c r="I4" s="239"/>
      <c r="J4" s="240"/>
      <c r="K4" s="240"/>
    </row>
    <row r="5" spans="1:20" x14ac:dyDescent="0.25">
      <c r="B5" s="91" t="s">
        <v>1</v>
      </c>
      <c r="E5" s="300">
        <v>500</v>
      </c>
      <c r="F5" t="s">
        <v>3</v>
      </c>
      <c r="H5" s="91" t="s">
        <v>313</v>
      </c>
      <c r="J5" s="327">
        <f>Total_Capital/10^6</f>
        <v>2.455934575287237</v>
      </c>
      <c r="K5" s="324" t="s">
        <v>263</v>
      </c>
    </row>
    <row r="6" spans="1:20" x14ac:dyDescent="0.25">
      <c r="B6" s="91" t="s">
        <v>310</v>
      </c>
      <c r="E6" s="301">
        <v>0.95</v>
      </c>
      <c r="H6" s="323" t="s">
        <v>320</v>
      </c>
      <c r="I6" s="324"/>
      <c r="J6" s="327">
        <f>OpEx_without_depr/Production_Rate/10^3</f>
        <v>3.5822738296183374</v>
      </c>
      <c r="K6" s="325" t="s">
        <v>308</v>
      </c>
    </row>
    <row r="7" spans="1:20" x14ac:dyDescent="0.25">
      <c r="B7" s="91" t="s">
        <v>312</v>
      </c>
      <c r="E7" s="301">
        <v>0.95</v>
      </c>
      <c r="F7" t="s">
        <v>260</v>
      </c>
      <c r="H7" s="132" t="s">
        <v>177</v>
      </c>
      <c r="I7" s="360"/>
      <c r="J7" s="361">
        <f>Revenue/Production_Rate/10^3</f>
        <v>7</v>
      </c>
      <c r="K7" s="362" t="s">
        <v>308</v>
      </c>
    </row>
    <row r="8" spans="1:20" x14ac:dyDescent="0.25">
      <c r="B8" s="91" t="s">
        <v>311</v>
      </c>
      <c r="E8" s="301">
        <v>0.98</v>
      </c>
      <c r="H8" s="364" t="str">
        <f>IF(EqCapacityRangeCheck,"( Equipment size is within cost correlation range. )","Warning: Equipment size is outside cost correlation range.")</f>
        <v>( Equipment size is within cost correlation range. )</v>
      </c>
      <c r="I8" s="363"/>
      <c r="J8" s="363"/>
      <c r="K8" s="363"/>
    </row>
    <row r="11" spans="1:20" ht="23.25" x14ac:dyDescent="0.35">
      <c r="B11" s="218" t="s">
        <v>89</v>
      </c>
      <c r="C11" s="88"/>
      <c r="D11" s="90"/>
      <c r="E11" s="90"/>
      <c r="F11" s="165"/>
      <c r="H11" s="235" t="s">
        <v>226</v>
      </c>
      <c r="I11" s="241"/>
      <c r="J11" s="236"/>
      <c r="K11" s="236"/>
    </row>
    <row r="12" spans="1:20" x14ac:dyDescent="0.25">
      <c r="B12" s="91" t="s">
        <v>85</v>
      </c>
      <c r="E12" s="301">
        <v>0.04</v>
      </c>
      <c r="F12" t="s">
        <v>260</v>
      </c>
      <c r="H12" s="323" t="s">
        <v>314</v>
      </c>
      <c r="I12" s="324"/>
      <c r="J12" s="326">
        <f>OpEx_with_depr/Production_Rate/10^3</f>
        <v>4.0093928861900316</v>
      </c>
      <c r="K12" s="325" t="s">
        <v>308</v>
      </c>
    </row>
    <row r="13" spans="1:20" x14ac:dyDescent="0.25">
      <c r="B13" s="91" t="s">
        <v>90</v>
      </c>
      <c r="E13" s="308">
        <v>1E-3</v>
      </c>
      <c r="F13" t="s">
        <v>37</v>
      </c>
      <c r="H13" s="323" t="s">
        <v>227</v>
      </c>
      <c r="I13" s="324"/>
      <c r="J13" s="373">
        <f>SimplePayback</f>
        <v>2.7562833343919424</v>
      </c>
      <c r="K13" s="324" t="s">
        <v>228</v>
      </c>
    </row>
    <row r="14" spans="1:20" x14ac:dyDescent="0.25">
      <c r="B14" s="91" t="s">
        <v>258</v>
      </c>
      <c r="E14" s="302">
        <v>5</v>
      </c>
      <c r="F14" t="s">
        <v>12</v>
      </c>
    </row>
    <row r="15" spans="1:20" x14ac:dyDescent="0.25">
      <c r="B15" s="91" t="s">
        <v>259</v>
      </c>
      <c r="E15" s="302">
        <v>1</v>
      </c>
      <c r="F15" t="s">
        <v>12</v>
      </c>
    </row>
    <row r="18" spans="2:16" ht="23.25" x14ac:dyDescent="0.35">
      <c r="B18" s="218" t="s">
        <v>309</v>
      </c>
      <c r="C18" s="88"/>
      <c r="D18" s="90"/>
      <c r="E18" s="90"/>
      <c r="F18" s="165"/>
    </row>
    <row r="19" spans="2:16" x14ac:dyDescent="0.25">
      <c r="B19" s="91" t="s">
        <v>261</v>
      </c>
      <c r="E19" s="305">
        <v>7000</v>
      </c>
      <c r="F19" s="206" t="s">
        <v>187</v>
      </c>
    </row>
    <row r="20" spans="2:16" x14ac:dyDescent="0.25">
      <c r="B20" s="91" t="s">
        <v>17</v>
      </c>
      <c r="E20" s="305">
        <v>1150</v>
      </c>
      <c r="F20" s="206" t="s">
        <v>187</v>
      </c>
    </row>
    <row r="21" spans="2:16" x14ac:dyDescent="0.25">
      <c r="B21" s="91" t="s">
        <v>18</v>
      </c>
      <c r="E21" s="305">
        <v>1050</v>
      </c>
      <c r="F21" s="206" t="s">
        <v>187</v>
      </c>
    </row>
    <row r="22" spans="2:16" x14ac:dyDescent="0.25">
      <c r="B22" s="95" t="s">
        <v>19</v>
      </c>
      <c r="E22" s="305">
        <v>2100</v>
      </c>
      <c r="F22" s="206" t="s">
        <v>187</v>
      </c>
    </row>
    <row r="23" spans="2:16" x14ac:dyDescent="0.25">
      <c r="B23" s="150" t="s">
        <v>55</v>
      </c>
      <c r="E23" s="306">
        <v>0.11</v>
      </c>
      <c r="F23" s="242" t="s">
        <v>256</v>
      </c>
    </row>
    <row r="24" spans="2:16" x14ac:dyDescent="0.25">
      <c r="B24" s="150" t="s">
        <v>262</v>
      </c>
      <c r="E24" s="307">
        <v>72000</v>
      </c>
      <c r="F24" s="242" t="s">
        <v>188</v>
      </c>
    </row>
    <row r="27" spans="2:16" x14ac:dyDescent="0.25">
      <c r="M27" s="174"/>
      <c r="N27" s="175"/>
      <c r="O27" s="243"/>
      <c r="P27" s="175"/>
    </row>
    <row r="30" spans="2:16" x14ac:dyDescent="0.25">
      <c r="J30" s="74"/>
    </row>
    <row r="31" spans="2:16" x14ac:dyDescent="0.25">
      <c r="J31" s="2"/>
    </row>
  </sheetData>
  <conditionalFormatting sqref="H8">
    <cfRule type="expression" dxfId="0" priority="1">
      <formula>NOT(EqCapacityRangeCheck)</formula>
    </cfRule>
  </conditionalFormatting>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0">
    <tabColor theme="0" tint="-0.34998626667073579"/>
    <pageSetUpPr fitToPage="1"/>
  </sheetPr>
  <dimension ref="A1:V83"/>
  <sheetViews>
    <sheetView showGridLines="0" zoomScale="85" zoomScaleNormal="85" workbookViewId="0">
      <selection activeCell="A30" sqref="A30"/>
    </sheetView>
  </sheetViews>
  <sheetFormatPr defaultColWidth="11.42578125" defaultRowHeight="15" x14ac:dyDescent="0.25"/>
  <cols>
    <col min="1" max="1" width="2.85546875" style="247" customWidth="1"/>
    <col min="2" max="6" width="12.42578125" style="247" customWidth="1"/>
    <col min="7" max="7" width="11.7109375" style="247" customWidth="1"/>
    <col min="8" max="8" width="25.7109375" style="247" customWidth="1"/>
    <col min="9" max="12" width="14.28515625" style="247" customWidth="1"/>
    <col min="13" max="13" width="13.42578125" style="247" customWidth="1"/>
    <col min="14" max="16384" width="11.42578125" style="247"/>
  </cols>
  <sheetData>
    <row r="1" spans="1:16" s="159" customFormat="1" ht="26.25" x14ac:dyDescent="0.4">
      <c r="A1" s="158" t="s">
        <v>279</v>
      </c>
      <c r="K1" s="160"/>
    </row>
    <row r="2" spans="1:16" customFormat="1" ht="15.75" x14ac:dyDescent="0.25">
      <c r="A2" t="s">
        <v>7</v>
      </c>
      <c r="B2" s="164"/>
    </row>
    <row r="3" spans="1:16" ht="31.5" customHeight="1" x14ac:dyDescent="0.25">
      <c r="A3" s="245"/>
      <c r="B3" s="245"/>
      <c r="C3" s="245"/>
      <c r="D3" s="245"/>
      <c r="E3" s="245"/>
      <c r="F3" s="245"/>
      <c r="G3" s="245"/>
      <c r="H3" s="246"/>
      <c r="I3" s="246"/>
      <c r="J3" s="246"/>
      <c r="K3" s="246"/>
      <c r="L3" s="246"/>
      <c r="M3" s="245"/>
    </row>
    <row r="4" spans="1:16" x14ac:dyDescent="0.25">
      <c r="B4" s="245"/>
      <c r="C4" s="245"/>
      <c r="D4" s="245"/>
      <c r="E4" s="245"/>
      <c r="F4" s="245"/>
      <c r="G4" s="245"/>
      <c r="H4" s="248" t="s">
        <v>280</v>
      </c>
      <c r="I4" s="249" t="s">
        <v>281</v>
      </c>
      <c r="J4" s="249" t="s">
        <v>282</v>
      </c>
      <c r="K4" s="249" t="s">
        <v>283</v>
      </c>
      <c r="L4" s="249" t="s">
        <v>284</v>
      </c>
      <c r="M4" s="250" t="s">
        <v>285</v>
      </c>
    </row>
    <row r="5" spans="1:16" x14ac:dyDescent="0.25">
      <c r="B5" s="245"/>
      <c r="C5" s="245"/>
      <c r="D5" s="245"/>
      <c r="E5" s="245"/>
      <c r="F5" s="245"/>
      <c r="G5" s="245"/>
      <c r="H5" s="252" t="str">
        <f>Dashboard!B6</f>
        <v>Utilization</v>
      </c>
      <c r="I5" s="320">
        <v>0.9</v>
      </c>
      <c r="J5" s="320">
        <v>0.95</v>
      </c>
      <c r="K5" s="320">
        <v>0.98</v>
      </c>
      <c r="L5" s="251" t="s">
        <v>0</v>
      </c>
      <c r="M5" s="297">
        <f>Dashboard!E6</f>
        <v>0.95</v>
      </c>
      <c r="P5"/>
    </row>
    <row r="6" spans="1:16" x14ac:dyDescent="0.25">
      <c r="B6" s="245"/>
      <c r="C6" s="245"/>
      <c r="D6" s="245"/>
      <c r="E6" s="245"/>
      <c r="F6" s="245"/>
      <c r="G6" s="245"/>
      <c r="H6" s="252" t="s">
        <v>86</v>
      </c>
      <c r="I6" s="320">
        <v>0.9</v>
      </c>
      <c r="J6" s="320">
        <v>0.95</v>
      </c>
      <c r="K6" s="320">
        <v>0.97</v>
      </c>
      <c r="L6" s="251" t="s">
        <v>260</v>
      </c>
      <c r="M6" s="297">
        <f>Dashboard!E7</f>
        <v>0.95</v>
      </c>
      <c r="N6" s="245"/>
      <c r="P6"/>
    </row>
    <row r="7" spans="1:16" x14ac:dyDescent="0.25">
      <c r="B7" s="245"/>
      <c r="C7" s="245"/>
      <c r="D7" s="245"/>
      <c r="E7" s="245"/>
      <c r="F7" s="245"/>
      <c r="G7" s="245"/>
      <c r="H7" s="252" t="str">
        <f>Dashboard!B8</f>
        <v>Separation yield</v>
      </c>
      <c r="I7" s="320">
        <v>0.95</v>
      </c>
      <c r="J7" s="320">
        <v>0.98</v>
      </c>
      <c r="K7" s="320">
        <v>0.99</v>
      </c>
      <c r="L7" s="251" t="s">
        <v>0</v>
      </c>
      <c r="M7" s="297">
        <f>Dashboard!E8</f>
        <v>0.98</v>
      </c>
      <c r="N7" s="245"/>
      <c r="P7"/>
    </row>
    <row r="8" spans="1:16" x14ac:dyDescent="0.25">
      <c r="B8" s="245"/>
      <c r="C8" s="245"/>
      <c r="D8" s="245"/>
      <c r="E8" s="245"/>
      <c r="F8" s="245"/>
      <c r="G8" s="245"/>
      <c r="H8" s="338" t="str">
        <f>Dashboard!B12</f>
        <v>Single pass conversion</v>
      </c>
      <c r="I8" s="343">
        <v>0.03</v>
      </c>
      <c r="J8" s="343">
        <v>0.04</v>
      </c>
      <c r="K8" s="343">
        <v>7.0000000000000007E-2</v>
      </c>
      <c r="L8" s="251" t="str">
        <f>Dashboard!F12</f>
        <v>of monomer</v>
      </c>
      <c r="M8" s="297">
        <f>Dashboard!E12</f>
        <v>0.04</v>
      </c>
      <c r="P8"/>
    </row>
    <row r="9" spans="1:16" x14ac:dyDescent="0.25">
      <c r="B9" s="245"/>
      <c r="C9" s="245"/>
      <c r="D9" s="245"/>
      <c r="E9" s="245"/>
      <c r="F9" s="245"/>
      <c r="G9" s="245"/>
      <c r="H9" s="338" t="str">
        <f>Dashboard!B13</f>
        <v>Catalyst dosing</v>
      </c>
      <c r="I9" s="344">
        <v>1.5E-3</v>
      </c>
      <c r="J9" s="344">
        <v>1E-3</v>
      </c>
      <c r="K9" s="344">
        <v>8.0000000000000004E-4</v>
      </c>
      <c r="L9" s="251" t="s">
        <v>37</v>
      </c>
      <c r="M9" s="296">
        <f>Dashboard!E13</f>
        <v>1E-3</v>
      </c>
      <c r="P9"/>
    </row>
    <row r="10" spans="1:16" x14ac:dyDescent="0.25">
      <c r="B10" s="245"/>
      <c r="C10" s="245"/>
      <c r="D10" s="245"/>
      <c r="E10" s="245"/>
      <c r="F10" s="245"/>
      <c r="G10" s="245"/>
      <c r="H10" s="338" t="str">
        <f>Dashboard!B14</f>
        <v>Reactor pressure</v>
      </c>
      <c r="I10" s="345">
        <v>4</v>
      </c>
      <c r="J10" s="345">
        <v>5</v>
      </c>
      <c r="K10" s="345">
        <v>5.5</v>
      </c>
      <c r="L10" s="251" t="s">
        <v>12</v>
      </c>
      <c r="M10" s="299">
        <f>Dashboard!E14</f>
        <v>5</v>
      </c>
      <c r="P10"/>
    </row>
    <row r="11" spans="1:16" x14ac:dyDescent="0.25">
      <c r="B11" s="245"/>
      <c r="C11" s="245"/>
      <c r="D11" s="245"/>
      <c r="E11" s="245"/>
      <c r="F11" s="245"/>
      <c r="G11" s="245"/>
      <c r="H11" s="339" t="s">
        <v>321</v>
      </c>
      <c r="I11" s="346">
        <v>13500</v>
      </c>
      <c r="J11" s="346">
        <v>14100</v>
      </c>
      <c r="K11" s="346">
        <v>14600</v>
      </c>
      <c r="L11" s="251" t="s">
        <v>187</v>
      </c>
      <c r="M11" s="340">
        <f>Dashboard!E19</f>
        <v>7000</v>
      </c>
      <c r="P11"/>
    </row>
    <row r="12" spans="1:16" x14ac:dyDescent="0.25">
      <c r="B12" s="245"/>
      <c r="C12" s="245"/>
      <c r="D12" s="245"/>
      <c r="E12" s="245"/>
      <c r="F12" s="245"/>
      <c r="G12" s="245"/>
      <c r="H12" s="91" t="s">
        <v>306</v>
      </c>
      <c r="I12" s="346">
        <v>1155</v>
      </c>
      <c r="J12" s="346">
        <v>1050</v>
      </c>
      <c r="K12" s="346">
        <v>945</v>
      </c>
      <c r="L12" s="251" t="s">
        <v>187</v>
      </c>
      <c r="M12" s="295">
        <f>Dashboard!E21</f>
        <v>1050</v>
      </c>
      <c r="P12"/>
    </row>
    <row r="13" spans="1:16" x14ac:dyDescent="0.25">
      <c r="B13" s="245"/>
      <c r="C13" s="245"/>
      <c r="D13" s="245"/>
      <c r="E13" s="245"/>
      <c r="F13" s="245"/>
      <c r="G13" s="245"/>
      <c r="H13" s="95" t="s">
        <v>305</v>
      </c>
      <c r="I13" s="346">
        <v>2310</v>
      </c>
      <c r="J13" s="346">
        <v>2100</v>
      </c>
      <c r="K13" s="346">
        <v>1890</v>
      </c>
      <c r="L13" s="251" t="s">
        <v>187</v>
      </c>
      <c r="M13" s="295">
        <f>Dashboard!E22</f>
        <v>2100</v>
      </c>
      <c r="P13"/>
    </row>
    <row r="14" spans="1:16" x14ac:dyDescent="0.25">
      <c r="B14" s="245"/>
      <c r="C14" s="245"/>
      <c r="D14" s="245"/>
      <c r="E14" s="245"/>
      <c r="F14" s="245"/>
      <c r="G14" s="245"/>
      <c r="H14" s="150" t="s">
        <v>307</v>
      </c>
      <c r="I14" s="346">
        <v>76000</v>
      </c>
      <c r="J14" s="346">
        <v>74000</v>
      </c>
      <c r="K14" s="346">
        <v>72000</v>
      </c>
      <c r="L14" s="251" t="s">
        <v>188</v>
      </c>
      <c r="M14" s="295">
        <f>Dashboard!E24</f>
        <v>72000</v>
      </c>
      <c r="P14"/>
    </row>
    <row r="15" spans="1:16" x14ac:dyDescent="0.25">
      <c r="B15" s="245"/>
      <c r="C15" s="245"/>
      <c r="D15" s="245"/>
      <c r="E15" s="245"/>
      <c r="F15" s="245"/>
      <c r="G15" s="245"/>
      <c r="H15" s="255"/>
      <c r="I15" s="256"/>
      <c r="J15" s="256"/>
      <c r="K15" s="256"/>
      <c r="L15" s="256"/>
      <c r="M15" s="256"/>
      <c r="P15"/>
    </row>
    <row r="16" spans="1:16" x14ac:dyDescent="0.25">
      <c r="B16" s="245"/>
      <c r="C16" s="245"/>
      <c r="D16" s="245"/>
      <c r="E16" s="245"/>
      <c r="F16" s="245"/>
      <c r="G16" s="245"/>
      <c r="H16" s="245"/>
      <c r="I16" s="298"/>
      <c r="J16" s="245"/>
      <c r="K16" s="245"/>
      <c r="L16" s="245"/>
      <c r="M16" s="245"/>
    </row>
    <row r="17" spans="1:22" x14ac:dyDescent="0.25">
      <c r="B17" s="245"/>
      <c r="C17" s="245"/>
      <c r="D17" s="245"/>
      <c r="E17" s="245"/>
      <c r="F17" s="245"/>
      <c r="G17" s="245"/>
    </row>
    <row r="18" spans="1:22" ht="15.75" x14ac:dyDescent="0.25">
      <c r="B18" s="245"/>
      <c r="C18" s="245"/>
      <c r="D18" s="245"/>
      <c r="E18" s="245"/>
      <c r="F18" s="245"/>
      <c r="G18" s="245"/>
      <c r="I18" s="257" t="s">
        <v>286</v>
      </c>
      <c r="J18" s="384" t="s">
        <v>383</v>
      </c>
      <c r="K18" s="384"/>
      <c r="L18" s="258"/>
    </row>
    <row r="19" spans="1:22" ht="15.75" x14ac:dyDescent="0.25">
      <c r="B19" s="245"/>
      <c r="C19" s="245"/>
      <c r="D19" s="245"/>
      <c r="E19" s="245"/>
      <c r="F19" s="245"/>
      <c r="G19" s="245"/>
      <c r="I19" s="259"/>
      <c r="J19" s="260"/>
      <c r="K19" s="260"/>
      <c r="L19" s="258"/>
    </row>
    <row r="20" spans="1:22" x14ac:dyDescent="0.25">
      <c r="B20" s="245"/>
      <c r="C20" s="245"/>
      <c r="D20" s="245"/>
      <c r="E20" s="245"/>
      <c r="F20" s="245"/>
      <c r="G20" s="245"/>
      <c r="I20" s="245"/>
    </row>
    <row r="21" spans="1:22" x14ac:dyDescent="0.25">
      <c r="A21" s="245"/>
      <c r="B21" s="245"/>
      <c r="C21" s="245"/>
      <c r="D21" s="245"/>
      <c r="E21" s="245"/>
      <c r="F21" s="245"/>
      <c r="G21" s="245"/>
      <c r="H21" s="261" t="s">
        <v>287</v>
      </c>
      <c r="I21" s="261"/>
      <c r="J21" s="261"/>
      <c r="K21" s="261"/>
      <c r="L21" s="261"/>
    </row>
    <row r="22" spans="1:22" x14ac:dyDescent="0.25">
      <c r="A22" s="245"/>
      <c r="B22" s="245"/>
      <c r="C22" s="245"/>
      <c r="D22" s="245"/>
      <c r="E22" s="245"/>
      <c r="F22" s="245"/>
      <c r="G22" s="245"/>
      <c r="H22" s="262" t="s">
        <v>288</v>
      </c>
      <c r="I22" s="263"/>
      <c r="J22" s="263"/>
      <c r="K22" s="263"/>
    </row>
    <row r="23" spans="1:22" x14ac:dyDescent="0.25">
      <c r="A23" s="245"/>
      <c r="B23" s="245"/>
      <c r="C23" s="245"/>
      <c r="D23" s="245"/>
      <c r="E23" s="245"/>
      <c r="F23" s="245"/>
      <c r="G23" s="245"/>
      <c r="H23" s="262" t="s">
        <v>289</v>
      </c>
      <c r="I23" s="263"/>
      <c r="J23" s="263"/>
      <c r="K23" s="263"/>
    </row>
    <row r="24" spans="1:22" x14ac:dyDescent="0.25">
      <c r="A24" s="245"/>
      <c r="H24" s="262" t="s">
        <v>290</v>
      </c>
      <c r="I24" s="263"/>
      <c r="J24" s="263"/>
      <c r="K24" s="263"/>
    </row>
    <row r="25" spans="1:22" x14ac:dyDescent="0.25">
      <c r="A25" s="245"/>
      <c r="H25" s="262" t="s">
        <v>291</v>
      </c>
      <c r="I25" s="245"/>
    </row>
    <row r="26" spans="1:22" x14ac:dyDescent="0.25">
      <c r="I26" s="245"/>
      <c r="L26" s="263"/>
    </row>
    <row r="27" spans="1:22" x14ac:dyDescent="0.25">
      <c r="L27" s="263"/>
    </row>
    <row r="28" spans="1:22" x14ac:dyDescent="0.25">
      <c r="L28" s="263"/>
    </row>
    <row r="30" spans="1:22" ht="16.5" customHeight="1" x14ac:dyDescent="0.25"/>
    <row r="32" spans="1:22" x14ac:dyDescent="0.25">
      <c r="I32" s="245"/>
      <c r="P32"/>
      <c r="Q32"/>
      <c r="R32"/>
      <c r="S32"/>
      <c r="T32"/>
      <c r="U32"/>
      <c r="V32"/>
    </row>
    <row r="33" spans="1:9" x14ac:dyDescent="0.25">
      <c r="I33" s="245"/>
    </row>
    <row r="34" spans="1:9" x14ac:dyDescent="0.25">
      <c r="I34" s="245"/>
    </row>
    <row r="35" spans="1:9" x14ac:dyDescent="0.25">
      <c r="I35" s="245"/>
    </row>
    <row r="36" spans="1:9" x14ac:dyDescent="0.25">
      <c r="I36" s="245"/>
    </row>
    <row r="37" spans="1:9" x14ac:dyDescent="0.25">
      <c r="I37" s="245"/>
    </row>
    <row r="38" spans="1:9" x14ac:dyDescent="0.25">
      <c r="I38" s="245"/>
    </row>
    <row r="39" spans="1:9" x14ac:dyDescent="0.25">
      <c r="A39" s="264" t="s">
        <v>292</v>
      </c>
      <c r="I39" s="245"/>
    </row>
    <row r="40" spans="1:9" x14ac:dyDescent="0.25">
      <c r="I40" s="245"/>
    </row>
    <row r="41" spans="1:9" x14ac:dyDescent="0.25">
      <c r="I41" s="245"/>
    </row>
    <row r="42" spans="1:9" x14ac:dyDescent="0.25">
      <c r="A42" s="245"/>
      <c r="I42" s="245"/>
    </row>
    <row r="43" spans="1:9" x14ac:dyDescent="0.25">
      <c r="A43" s="245"/>
      <c r="I43" s="245"/>
    </row>
    <row r="49" spans="7:15" x14ac:dyDescent="0.25">
      <c r="G49" s="265" t="s">
        <v>293</v>
      </c>
    </row>
    <row r="50" spans="7:15" x14ac:dyDescent="0.25">
      <c r="G50" s="266"/>
      <c r="H50" s="267"/>
      <c r="I50" s="267"/>
      <c r="J50" s="267"/>
      <c r="K50" s="268"/>
    </row>
    <row r="51" spans="7:15" x14ac:dyDescent="0.25">
      <c r="G51" s="269"/>
      <c r="H51" s="270" t="s">
        <v>294</v>
      </c>
      <c r="I51" s="270" t="s">
        <v>285</v>
      </c>
      <c r="J51" s="270" t="s">
        <v>295</v>
      </c>
      <c r="K51" s="271"/>
    </row>
    <row r="52" spans="7:15" x14ac:dyDescent="0.25">
      <c r="G52" s="269"/>
      <c r="H52" s="272" t="s">
        <v>296</v>
      </c>
      <c r="I52" s="273">
        <f>NPV</f>
        <v>3.5575667203713488</v>
      </c>
      <c r="J52" s="272">
        <v>1</v>
      </c>
      <c r="K52" s="271"/>
      <c r="M52" s="274"/>
      <c r="O52" s="127"/>
    </row>
    <row r="53" spans="7:15" x14ac:dyDescent="0.25">
      <c r="G53" s="269"/>
      <c r="H53" s="272" t="s">
        <v>233</v>
      </c>
      <c r="I53" s="342">
        <f>IRR</f>
        <v>0.36224523495016192</v>
      </c>
      <c r="J53" s="272">
        <v>1</v>
      </c>
      <c r="K53" s="271"/>
    </row>
    <row r="54" spans="7:15" x14ac:dyDescent="0.25">
      <c r="G54" s="269"/>
      <c r="H54" s="272" t="s">
        <v>297</v>
      </c>
      <c r="I54" s="273">
        <f>Dashboard!J5</f>
        <v>2.455934575287237</v>
      </c>
      <c r="J54" s="272">
        <v>0</v>
      </c>
      <c r="K54" s="271"/>
    </row>
    <row r="55" spans="7:15" x14ac:dyDescent="0.25">
      <c r="G55" s="269"/>
      <c r="H55" s="272" t="s">
        <v>322</v>
      </c>
      <c r="I55" s="341">
        <f>Dashboard!J13</f>
        <v>2.7562833343919424</v>
      </c>
      <c r="J55" s="272">
        <v>1</v>
      </c>
      <c r="K55" s="271"/>
      <c r="M55"/>
      <c r="N55"/>
      <c r="O55"/>
    </row>
    <row r="56" spans="7:15" x14ac:dyDescent="0.25">
      <c r="G56" s="269"/>
      <c r="H56" s="272" t="s">
        <v>383</v>
      </c>
      <c r="I56" s="273">
        <f>Dashboard!J12</f>
        <v>4.0093928861900316</v>
      </c>
      <c r="J56" s="272">
        <v>0</v>
      </c>
      <c r="K56" s="271"/>
      <c r="M56"/>
      <c r="N56"/>
      <c r="O56"/>
    </row>
    <row r="57" spans="7:15" x14ac:dyDescent="0.25">
      <c r="G57" s="269"/>
      <c r="H57" s="272"/>
      <c r="I57" s="275"/>
      <c r="J57" s="272"/>
      <c r="K57" s="271"/>
      <c r="M57"/>
      <c r="N57"/>
      <c r="O57"/>
    </row>
    <row r="58" spans="7:15" x14ac:dyDescent="0.25">
      <c r="G58" s="269"/>
      <c r="H58" s="245"/>
      <c r="I58" s="245"/>
      <c r="J58" s="245"/>
      <c r="K58" s="271"/>
      <c r="M58"/>
      <c r="N58"/>
      <c r="O58"/>
    </row>
    <row r="59" spans="7:15" x14ac:dyDescent="0.25">
      <c r="G59" s="269"/>
      <c r="H59" s="276" t="s">
        <v>298</v>
      </c>
      <c r="I59" s="277">
        <f>MATCH(J18,$H$52:$H$57,0)</f>
        <v>5</v>
      </c>
      <c r="J59" s="245"/>
      <c r="K59" s="271"/>
      <c r="M59"/>
      <c r="N59"/>
      <c r="O59"/>
    </row>
    <row r="60" spans="7:15" x14ac:dyDescent="0.25">
      <c r="G60" s="269"/>
      <c r="H60" s="276" t="s">
        <v>299</v>
      </c>
      <c r="I60" s="254">
        <f>INDEX($I$52:$I$57,I59)</f>
        <v>4.0093928861900316</v>
      </c>
      <c r="J60" s="245"/>
      <c r="K60" s="271"/>
      <c r="M60"/>
      <c r="N60"/>
      <c r="O60"/>
    </row>
    <row r="61" spans="7:15" x14ac:dyDescent="0.25">
      <c r="G61" s="269"/>
      <c r="H61" s="276" t="s">
        <v>300</v>
      </c>
      <c r="I61" s="277" t="str">
        <f ca="1">CELL("format",INDEX($I$52:$I$57,I59))</f>
        <v>C2-</v>
      </c>
      <c r="J61" s="245"/>
      <c r="K61" s="271"/>
      <c r="M61"/>
      <c r="N61"/>
      <c r="O61"/>
    </row>
    <row r="62" spans="7:15" x14ac:dyDescent="0.25">
      <c r="G62" s="269"/>
      <c r="H62" s="278"/>
      <c r="I62" s="246"/>
      <c r="J62" s="246"/>
      <c r="K62" s="279"/>
      <c r="M62"/>
      <c r="N62"/>
      <c r="O62"/>
    </row>
    <row r="63" spans="7:15" x14ac:dyDescent="0.25">
      <c r="G63" s="280"/>
      <c r="H63" s="281" t="s">
        <v>301</v>
      </c>
      <c r="I63" s="282" t="s">
        <v>295</v>
      </c>
      <c r="J63" s="282" t="s">
        <v>285</v>
      </c>
      <c r="K63" s="271"/>
      <c r="M63"/>
      <c r="N63"/>
      <c r="O63"/>
    </row>
    <row r="64" spans="7:15" x14ac:dyDescent="0.25">
      <c r="G64" s="280"/>
      <c r="H64" s="283" t="str">
        <f>J18</f>
        <v>All-in cost , $/kg</v>
      </c>
      <c r="I64" s="284">
        <f>INDEX(J52:J57,MATCH(T_Metric,H52:H57,0))</f>
        <v>0</v>
      </c>
      <c r="J64" s="285">
        <f>Tornado!I60</f>
        <v>4.0093928861900316</v>
      </c>
      <c r="K64" s="271"/>
      <c r="M64"/>
      <c r="N64"/>
      <c r="O64"/>
    </row>
    <row r="65" spans="7:15" x14ac:dyDescent="0.25">
      <c r="G65" s="280"/>
      <c r="H65" s="286" t="s">
        <v>302</v>
      </c>
      <c r="I65" s="286" t="s">
        <v>303</v>
      </c>
      <c r="J65" s="287" t="s">
        <v>304</v>
      </c>
      <c r="K65" s="271"/>
      <c r="M65"/>
      <c r="N65"/>
      <c r="O65"/>
    </row>
    <row r="66" spans="7:15" x14ac:dyDescent="0.25">
      <c r="G66" s="280"/>
      <c r="H66" s="277" t="s">
        <v>321</v>
      </c>
      <c r="I66" s="254">
        <v>4.0671754948856833</v>
      </c>
      <c r="J66" s="288">
        <v>4.0671754948856833</v>
      </c>
      <c r="K66" s="271"/>
    </row>
    <row r="67" spans="7:15" x14ac:dyDescent="0.25">
      <c r="G67" s="280"/>
      <c r="H67" s="277" t="s">
        <v>305</v>
      </c>
      <c r="I67" s="254">
        <v>4.0671773582248134</v>
      </c>
      <c r="J67" s="288">
        <v>4.0671736315465532</v>
      </c>
      <c r="K67" s="271"/>
    </row>
    <row r="68" spans="7:15" x14ac:dyDescent="0.25">
      <c r="G68" s="280"/>
      <c r="H68" s="277" t="s">
        <v>90</v>
      </c>
      <c r="I68" s="253">
        <v>4.0678468106752002</v>
      </c>
      <c r="J68" s="289">
        <v>4.0669069685698762</v>
      </c>
      <c r="K68" s="271"/>
    </row>
    <row r="69" spans="7:15" x14ac:dyDescent="0.25">
      <c r="G69" s="280"/>
      <c r="H69" s="277" t="s">
        <v>310</v>
      </c>
      <c r="I69" s="254">
        <v>4.0946973083574933</v>
      </c>
      <c r="J69" s="288">
        <v>4.0518263695657017</v>
      </c>
      <c r="K69" s="271"/>
    </row>
    <row r="70" spans="7:15" x14ac:dyDescent="0.25">
      <c r="G70" s="280"/>
      <c r="H70" s="277" t="s">
        <v>311</v>
      </c>
      <c r="I70" s="254">
        <v>4.1216259235849879</v>
      </c>
      <c r="J70" s="288">
        <v>4.0497292827408877</v>
      </c>
      <c r="K70" s="271"/>
    </row>
    <row r="71" spans="7:15" x14ac:dyDescent="0.25">
      <c r="G71" s="280"/>
      <c r="H71" s="277" t="s">
        <v>307</v>
      </c>
      <c r="I71" s="254">
        <v>4.124958103581335</v>
      </c>
      <c r="J71" s="288">
        <v>4.0093928861900316</v>
      </c>
      <c r="K71" s="271"/>
    </row>
    <row r="72" spans="7:15" x14ac:dyDescent="0.25">
      <c r="G72" s="280"/>
      <c r="H72" s="277" t="s">
        <v>86</v>
      </c>
      <c r="I72" s="254">
        <v>4.1670785601405438</v>
      </c>
      <c r="J72" s="288">
        <v>4.0270058179771926</v>
      </c>
      <c r="K72" s="271"/>
    </row>
    <row r="73" spans="7:15" x14ac:dyDescent="0.25">
      <c r="G73" s="280"/>
      <c r="H73" s="277" t="s">
        <v>258</v>
      </c>
      <c r="I73" s="254">
        <v>4.1816693993739618</v>
      </c>
      <c r="J73" s="288">
        <v>4.0239176482700314</v>
      </c>
      <c r="K73" s="271"/>
    </row>
    <row r="74" spans="7:15" x14ac:dyDescent="0.25">
      <c r="G74" s="280"/>
      <c r="H74" s="277" t="s">
        <v>306</v>
      </c>
      <c r="I74" s="254">
        <v>4.1897635955800281</v>
      </c>
      <c r="J74" s="288">
        <v>3.9445873941913385</v>
      </c>
      <c r="K74" s="271"/>
    </row>
    <row r="75" spans="7:15" x14ac:dyDescent="0.25">
      <c r="G75" s="280"/>
      <c r="H75" s="277" t="s">
        <v>85</v>
      </c>
      <c r="I75" s="254">
        <v>4.2185470081462624</v>
      </c>
      <c r="J75" s="288">
        <v>3.848762561551089</v>
      </c>
      <c r="K75" s="271"/>
    </row>
    <row r="76" spans="7:15" x14ac:dyDescent="0.25">
      <c r="G76" s="280"/>
      <c r="H76" s="277"/>
      <c r="I76" s="253"/>
      <c r="J76" s="289"/>
      <c r="K76" s="271"/>
    </row>
    <row r="77" spans="7:15" x14ac:dyDescent="0.25">
      <c r="G77" s="280"/>
      <c r="H77" s="277"/>
      <c r="I77" s="253"/>
      <c r="J77" s="289"/>
      <c r="K77" s="271"/>
    </row>
    <row r="78" spans="7:15" x14ac:dyDescent="0.25">
      <c r="G78" s="280"/>
      <c r="H78" s="277"/>
      <c r="I78" s="253"/>
      <c r="J78" s="289"/>
      <c r="K78" s="271"/>
    </row>
    <row r="79" spans="7:15" x14ac:dyDescent="0.25">
      <c r="G79" s="280"/>
      <c r="H79" s="277"/>
      <c r="I79" s="253"/>
      <c r="J79" s="289"/>
      <c r="K79" s="271"/>
    </row>
    <row r="80" spans="7:15" x14ac:dyDescent="0.25">
      <c r="G80" s="280"/>
      <c r="H80" s="277"/>
      <c r="I80" s="253"/>
      <c r="J80" s="289"/>
      <c r="K80" s="271"/>
    </row>
    <row r="81" spans="7:11" x14ac:dyDescent="0.25">
      <c r="G81" s="280"/>
      <c r="H81" s="256"/>
      <c r="I81" s="290"/>
      <c r="J81" s="291"/>
      <c r="K81" s="271"/>
    </row>
    <row r="82" spans="7:11" x14ac:dyDescent="0.25">
      <c r="G82" s="269"/>
      <c r="H82" s="245"/>
      <c r="I82" s="245"/>
      <c r="J82" s="245"/>
      <c r="K82" s="271"/>
    </row>
    <row r="83" spans="7:11" x14ac:dyDescent="0.25">
      <c r="G83" s="292"/>
      <c r="H83" s="293"/>
      <c r="I83" s="293"/>
      <c r="J83" s="293"/>
      <c r="K83" s="294"/>
    </row>
  </sheetData>
  <sortState ref="H66:J75">
    <sortCondition ref="I65:I80"/>
  </sortState>
  <mergeCells count="1">
    <mergeCell ref="J18:K18"/>
  </mergeCells>
  <dataValidations count="1">
    <dataValidation type="list" allowBlank="1" showInputMessage="1" showErrorMessage="1" sqref="J18">
      <formula1>$H$52:$H$57</formula1>
    </dataValidation>
  </dataValidations>
  <pageMargins left="0.5" right="0.5" top="0.5" bottom="0.5" header="0.3" footer="0.3"/>
  <pageSetup scale="59" orientation="portrait" r:id="rId1"/>
  <headerFooter>
    <oddFooter>&amp;L&amp;F, &amp;A&amp;Rcgb,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ornadoRefreshButton_Click">
                <anchor moveWithCells="1" sizeWithCells="1">
                  <from>
                    <xdr:col>7</xdr:col>
                    <xdr:colOff>314325</xdr:colOff>
                    <xdr:row>16</xdr:row>
                    <xdr:rowOff>133350</xdr:rowOff>
                  </from>
                  <to>
                    <xdr:col>7</xdr:col>
                    <xdr:colOff>1438275</xdr:colOff>
                    <xdr:row>18</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4" tint="-0.499984740745262"/>
  </sheetPr>
  <dimension ref="A1:S92"/>
  <sheetViews>
    <sheetView showGridLines="0" zoomScale="85" zoomScaleNormal="85" workbookViewId="0">
      <selection activeCell="A30" sqref="A30"/>
    </sheetView>
  </sheetViews>
  <sheetFormatPr defaultColWidth="11.42578125" defaultRowHeight="15" x14ac:dyDescent="0.25"/>
  <cols>
    <col min="1" max="1" width="2.85546875" customWidth="1"/>
    <col min="2" max="2" width="11.42578125" customWidth="1"/>
    <col min="3" max="3" width="14.42578125" customWidth="1"/>
    <col min="4" max="11" width="11.42578125" customWidth="1"/>
    <col min="19" max="19" width="15.5703125" customWidth="1"/>
    <col min="24" max="24" width="12.5703125" bestFit="1" customWidth="1"/>
  </cols>
  <sheetData>
    <row r="1" spans="1:12" ht="26.25" x14ac:dyDescent="0.4">
      <c r="A1" s="4" t="s">
        <v>15</v>
      </c>
      <c r="G1" s="3"/>
      <c r="H1" s="1"/>
    </row>
    <row r="2" spans="1:12" s="244" customFormat="1" ht="15" customHeight="1" x14ac:dyDescent="0.25">
      <c r="B2" s="244" t="s">
        <v>269</v>
      </c>
    </row>
    <row r="3" spans="1:12" ht="15" customHeight="1" x14ac:dyDescent="0.25"/>
    <row r="5" spans="1:12" ht="21" x14ac:dyDescent="0.35">
      <c r="B5" s="117" t="s">
        <v>91</v>
      </c>
      <c r="C5" s="117"/>
      <c r="D5" s="118"/>
      <c r="E5" s="118"/>
      <c r="G5" s="235" t="s">
        <v>250</v>
      </c>
      <c r="H5" s="235"/>
      <c r="I5" s="235"/>
      <c r="J5" s="236"/>
    </row>
    <row r="6" spans="1:12" x14ac:dyDescent="0.25">
      <c r="B6" s="91" t="s">
        <v>1</v>
      </c>
      <c r="D6" s="5">
        <f>Dashboard!E5</f>
        <v>500</v>
      </c>
      <c r="E6" t="s">
        <v>3</v>
      </c>
      <c r="G6" s="91" t="s">
        <v>93</v>
      </c>
      <c r="I6" s="6">
        <f>I89/kg_per_t*s_per_yr</f>
        <v>500</v>
      </c>
      <c r="J6" t="s">
        <v>3</v>
      </c>
    </row>
    <row r="7" spans="1:12" x14ac:dyDescent="0.25">
      <c r="B7" s="91" t="s">
        <v>86</v>
      </c>
      <c r="D7" s="116">
        <f>Dashboard!E7</f>
        <v>0.95</v>
      </c>
      <c r="E7" t="s">
        <v>260</v>
      </c>
      <c r="G7" s="91" t="s">
        <v>17</v>
      </c>
      <c r="I7" s="185">
        <f>I90/kg_per_t*s_per_yr</f>
        <v>0.53705263161331884</v>
      </c>
      <c r="J7" t="s">
        <v>3</v>
      </c>
    </row>
    <row r="8" spans="1:12" ht="15.75" customHeight="1" x14ac:dyDescent="0.25">
      <c r="B8" s="91" t="s">
        <v>311</v>
      </c>
      <c r="D8" s="116">
        <f>Dashboard!E8</f>
        <v>0.98</v>
      </c>
      <c r="G8" s="91" t="s">
        <v>18</v>
      </c>
      <c r="I8" s="6">
        <f>I91/kg_per_t*s_per_yr</f>
        <v>537.05263161331879</v>
      </c>
      <c r="J8" t="s">
        <v>3</v>
      </c>
    </row>
    <row r="9" spans="1:12" x14ac:dyDescent="0.25">
      <c r="G9" s="91" t="s">
        <v>19</v>
      </c>
      <c r="I9" s="77">
        <f>I92/kg_per_t*s_per_yr</f>
        <v>4.0816000002612228E-3</v>
      </c>
      <c r="J9" t="s">
        <v>3</v>
      </c>
    </row>
    <row r="10" spans="1:12" ht="21" x14ac:dyDescent="0.35">
      <c r="B10" s="117" t="s">
        <v>89</v>
      </c>
      <c r="C10" s="117"/>
      <c r="D10" s="118"/>
      <c r="E10" s="118"/>
      <c r="G10" s="91" t="s">
        <v>273</v>
      </c>
      <c r="I10" s="6">
        <f>H64/kg_per_t*s_per_yr</f>
        <v>12217.947369203004</v>
      </c>
      <c r="J10" t="s">
        <v>3</v>
      </c>
    </row>
    <row r="11" spans="1:12" x14ac:dyDescent="0.25">
      <c r="B11" s="91" t="s">
        <v>9</v>
      </c>
      <c r="D11" s="309">
        <v>80</v>
      </c>
      <c r="E11" t="s">
        <v>10</v>
      </c>
    </row>
    <row r="12" spans="1:12" x14ac:dyDescent="0.25">
      <c r="B12" s="91" t="s">
        <v>11</v>
      </c>
      <c r="D12" s="87">
        <f>Dashboard!E14</f>
        <v>5</v>
      </c>
      <c r="E12" t="s">
        <v>12</v>
      </c>
    </row>
    <row r="13" spans="1:12" ht="21" x14ac:dyDescent="0.35">
      <c r="B13" s="91" t="s">
        <v>87</v>
      </c>
      <c r="D13" s="300">
        <v>5000</v>
      </c>
      <c r="E13" t="s">
        <v>88</v>
      </c>
      <c r="G13" s="235" t="s">
        <v>323</v>
      </c>
      <c r="H13" s="235"/>
      <c r="I13" s="235"/>
      <c r="J13" s="236"/>
    </row>
    <row r="14" spans="1:12" x14ac:dyDescent="0.25">
      <c r="B14" s="91" t="s">
        <v>90</v>
      </c>
      <c r="C14" s="63"/>
      <c r="D14" s="78">
        <f>Dashboard!E13</f>
        <v>1E-3</v>
      </c>
      <c r="E14" t="s">
        <v>37</v>
      </c>
      <c r="G14" s="91" t="s">
        <v>325</v>
      </c>
      <c r="I14" s="74">
        <f>Conv_Overall*Product_Loss</f>
        <v>0.93099999999999994</v>
      </c>
      <c r="L14" s="2"/>
    </row>
    <row r="15" spans="1:12" x14ac:dyDescent="0.25">
      <c r="B15" s="91" t="s">
        <v>85</v>
      </c>
      <c r="D15" s="116">
        <f>Dashboard!E12</f>
        <v>0.04</v>
      </c>
      <c r="E15" t="s">
        <v>260</v>
      </c>
    </row>
    <row r="17" spans="1:5" ht="21" x14ac:dyDescent="0.35">
      <c r="B17" s="117" t="s">
        <v>83</v>
      </c>
      <c r="C17" s="117"/>
      <c r="D17" s="118"/>
      <c r="E17" s="118"/>
    </row>
    <row r="18" spans="1:5" x14ac:dyDescent="0.25">
      <c r="B18" s="91" t="s">
        <v>84</v>
      </c>
      <c r="D18" s="75">
        <f>Dashboard!E15</f>
        <v>1</v>
      </c>
      <c r="E18" t="s">
        <v>12</v>
      </c>
    </row>
    <row r="19" spans="1:5" x14ac:dyDescent="0.25">
      <c r="B19" s="91" t="s">
        <v>63</v>
      </c>
      <c r="C19" s="61"/>
      <c r="D19" s="234">
        <v>0.8</v>
      </c>
      <c r="E19" t="s">
        <v>12</v>
      </c>
    </row>
    <row r="22" spans="1:5" x14ac:dyDescent="0.25">
      <c r="B22" s="91"/>
      <c r="C22" s="61"/>
      <c r="D22" s="75"/>
    </row>
    <row r="23" spans="1:5" x14ac:dyDescent="0.25">
      <c r="B23" s="91"/>
      <c r="C23" s="61"/>
      <c r="D23" s="75"/>
    </row>
    <row r="24" spans="1:5" x14ac:dyDescent="0.25">
      <c r="B24" s="91"/>
      <c r="C24" s="61"/>
      <c r="D24" s="75"/>
    </row>
    <row r="25" spans="1:5" s="122" customFormat="1" ht="18.75" x14ac:dyDescent="0.3">
      <c r="A25" s="123" t="s">
        <v>324</v>
      </c>
    </row>
    <row r="27" spans="1:5" x14ac:dyDescent="0.25">
      <c r="B27" s="91"/>
      <c r="C27" s="61"/>
      <c r="D27" s="75"/>
    </row>
    <row r="28" spans="1:5" x14ac:dyDescent="0.25">
      <c r="B28" s="91"/>
      <c r="C28" s="61"/>
      <c r="D28" s="75"/>
    </row>
    <row r="34" spans="1:15" x14ac:dyDescent="0.25">
      <c r="B34" s="91"/>
      <c r="D34" s="77"/>
    </row>
    <row r="35" spans="1:15" x14ac:dyDescent="0.25">
      <c r="B35" s="91"/>
      <c r="D35" s="77"/>
    </row>
    <row r="36" spans="1:15" x14ac:dyDescent="0.25">
      <c r="B36" s="91"/>
      <c r="D36" s="77"/>
    </row>
    <row r="37" spans="1:15" x14ac:dyDescent="0.25">
      <c r="B37" s="91"/>
      <c r="D37" s="77"/>
    </row>
    <row r="38" spans="1:15" x14ac:dyDescent="0.25">
      <c r="B38" s="91"/>
      <c r="D38" s="77"/>
    </row>
    <row r="39" spans="1:15" x14ac:dyDescent="0.25">
      <c r="B39" s="91"/>
      <c r="D39" s="77"/>
    </row>
    <row r="40" spans="1:15" x14ac:dyDescent="0.25">
      <c r="B40" s="91"/>
      <c r="D40" s="77"/>
    </row>
    <row r="41" spans="1:15" x14ac:dyDescent="0.25">
      <c r="B41" s="91"/>
      <c r="D41" s="77"/>
    </row>
    <row r="44" spans="1:15" s="122" customFormat="1" ht="18.75" x14ac:dyDescent="0.3">
      <c r="A44" s="123" t="s">
        <v>248</v>
      </c>
    </row>
    <row r="46" spans="1:15" x14ac:dyDescent="0.25">
      <c r="B46" s="8"/>
      <c r="C46" s="8"/>
      <c r="D46" s="8"/>
      <c r="E46" s="8"/>
      <c r="F46" s="8"/>
      <c r="G46" s="52"/>
      <c r="H46" s="8"/>
      <c r="I46" s="52"/>
      <c r="J46" s="8"/>
      <c r="K46" s="52"/>
      <c r="L46" s="52"/>
      <c r="M46" s="8"/>
    </row>
    <row r="47" spans="1:15" ht="18.75" x14ac:dyDescent="0.3">
      <c r="A47" s="7"/>
      <c r="B47" s="9" t="s">
        <v>4</v>
      </c>
      <c r="C47" s="20"/>
      <c r="D47" s="27"/>
      <c r="E47" s="37">
        <v>1</v>
      </c>
      <c r="F47" s="64">
        <v>2</v>
      </c>
      <c r="G47" s="46">
        <v>3</v>
      </c>
      <c r="H47" s="66">
        <v>4</v>
      </c>
      <c r="I47" s="37">
        <v>5</v>
      </c>
      <c r="J47" s="46">
        <v>6</v>
      </c>
      <c r="K47" s="66">
        <v>7</v>
      </c>
      <c r="L47" s="37">
        <v>8</v>
      </c>
      <c r="M47" s="46">
        <v>9</v>
      </c>
    </row>
    <row r="48" spans="1:15" s="60" customFormat="1" ht="30" customHeight="1" x14ac:dyDescent="0.25">
      <c r="A48" s="57"/>
      <c r="B48" s="58" t="s">
        <v>16</v>
      </c>
      <c r="C48" s="58"/>
      <c r="D48" s="59" t="s">
        <v>0</v>
      </c>
      <c r="E48" s="60" t="s">
        <v>20</v>
      </c>
      <c r="F48" s="65" t="s">
        <v>21</v>
      </c>
      <c r="G48" s="57" t="s">
        <v>278</v>
      </c>
      <c r="H48" s="67" t="s">
        <v>79</v>
      </c>
      <c r="I48" s="60" t="s">
        <v>80</v>
      </c>
      <c r="J48" s="57" t="s">
        <v>92</v>
      </c>
      <c r="K48" s="67" t="s">
        <v>22</v>
      </c>
      <c r="L48" s="60" t="s">
        <v>94</v>
      </c>
      <c r="M48" s="57" t="s">
        <v>93</v>
      </c>
      <c r="N48"/>
      <c r="O48"/>
    </row>
    <row r="49" spans="1:15" hidden="1" x14ac:dyDescent="0.25">
      <c r="A49" s="7"/>
      <c r="B49" s="10" t="s">
        <v>5</v>
      </c>
      <c r="C49" s="21"/>
      <c r="D49" s="28" t="s">
        <v>0</v>
      </c>
      <c r="E49" s="38" t="s">
        <v>2</v>
      </c>
      <c r="F49" s="38" t="s">
        <v>2</v>
      </c>
      <c r="G49" s="47" t="s">
        <v>2</v>
      </c>
      <c r="H49" s="68"/>
      <c r="I49" s="38"/>
      <c r="J49" s="47"/>
      <c r="K49" s="68"/>
      <c r="L49" s="38" t="s">
        <v>6</v>
      </c>
      <c r="M49" s="47" t="s">
        <v>6</v>
      </c>
    </row>
    <row r="50" spans="1:15" hidden="1" x14ac:dyDescent="0.25">
      <c r="A50" s="7"/>
      <c r="B50" s="11" t="s">
        <v>8</v>
      </c>
      <c r="C50" s="11"/>
      <c r="D50" s="7" t="s">
        <v>0</v>
      </c>
      <c r="E50" s="39" t="s">
        <v>24</v>
      </c>
      <c r="F50" s="41" t="s">
        <v>25</v>
      </c>
      <c r="G50" s="48" t="s">
        <v>25</v>
      </c>
      <c r="H50" s="69" t="s">
        <v>25</v>
      </c>
      <c r="I50" s="41" t="s">
        <v>25</v>
      </c>
      <c r="J50" s="48" t="s">
        <v>25</v>
      </c>
      <c r="K50" s="69" t="s">
        <v>26</v>
      </c>
      <c r="L50" s="41" t="s">
        <v>25</v>
      </c>
      <c r="M50" s="48" t="s">
        <v>24</v>
      </c>
    </row>
    <row r="51" spans="1:15" x14ac:dyDescent="0.25">
      <c r="A51" s="7"/>
      <c r="B51" s="12"/>
      <c r="C51" s="22"/>
      <c r="D51" s="29"/>
      <c r="E51" s="40"/>
      <c r="F51" s="42"/>
      <c r="G51" s="49"/>
      <c r="H51" s="70"/>
      <c r="I51" s="42"/>
      <c r="J51" s="49"/>
      <c r="K51" s="70"/>
      <c r="L51" s="42"/>
      <c r="M51" s="49"/>
    </row>
    <row r="52" spans="1:15" x14ac:dyDescent="0.25">
      <c r="A52" s="7"/>
      <c r="B52" s="13" t="s">
        <v>9</v>
      </c>
      <c r="C52" s="13"/>
      <c r="D52" s="30" t="s">
        <v>40</v>
      </c>
      <c r="E52" s="106">
        <f>T_ambient</f>
        <v>298</v>
      </c>
      <c r="F52" s="106">
        <f>T_ambient</f>
        <v>298</v>
      </c>
      <c r="G52" s="107">
        <f>T_ambient</f>
        <v>298</v>
      </c>
      <c r="H52" s="101">
        <f>T_Reactor</f>
        <v>353.15</v>
      </c>
      <c r="I52" s="6">
        <f>'Equipment sizing'!D72</f>
        <v>392.70312213234456</v>
      </c>
      <c r="J52" s="102">
        <f>H52</f>
        <v>353.15</v>
      </c>
      <c r="K52" s="106">
        <f>T_Reactor</f>
        <v>353.15</v>
      </c>
      <c r="L52" s="104">
        <f>K52</f>
        <v>353.15</v>
      </c>
      <c r="M52" s="105">
        <f>L52</f>
        <v>353.15</v>
      </c>
    </row>
    <row r="53" spans="1:15" x14ac:dyDescent="0.25">
      <c r="A53" s="7"/>
      <c r="B53" s="13" t="s">
        <v>11</v>
      </c>
      <c r="C53" s="13"/>
      <c r="D53" s="30" t="s">
        <v>12</v>
      </c>
      <c r="E53" s="124">
        <f>J53</f>
        <v>5</v>
      </c>
      <c r="F53" s="124">
        <f>J53</f>
        <v>5</v>
      </c>
      <c r="G53" s="125">
        <f>J53</f>
        <v>5</v>
      </c>
      <c r="H53" s="126">
        <f>P_Reactor-$D$18</f>
        <v>4</v>
      </c>
      <c r="I53" s="127">
        <f>J53+D19</f>
        <v>5.8</v>
      </c>
      <c r="J53" s="103">
        <f>P_Reactor</f>
        <v>5</v>
      </c>
      <c r="K53" s="126">
        <f>D84</f>
        <v>1.5</v>
      </c>
      <c r="L53" s="126">
        <f>P_ambient</f>
        <v>1</v>
      </c>
      <c r="M53" s="103">
        <f>P_ambient</f>
        <v>1</v>
      </c>
    </row>
    <row r="54" spans="1:15" x14ac:dyDescent="0.25">
      <c r="A54" s="7"/>
      <c r="B54" s="15"/>
      <c r="C54" s="23"/>
      <c r="D54" s="32"/>
      <c r="E54" s="42"/>
      <c r="F54" s="42"/>
      <c r="G54" s="49"/>
      <c r="H54" s="70"/>
      <c r="I54" s="42"/>
      <c r="J54" s="49"/>
      <c r="K54" s="70"/>
      <c r="L54" s="42"/>
      <c r="M54" s="49"/>
    </row>
    <row r="55" spans="1:15" x14ac:dyDescent="0.25">
      <c r="A55" s="7"/>
      <c r="B55" s="16" t="s">
        <v>64</v>
      </c>
      <c r="C55" s="24"/>
      <c r="D55" s="33" t="s">
        <v>43</v>
      </c>
      <c r="E55" s="43">
        <f t="shared" ref="E55:M55" si="0">SUM(E60:E61)*Constant_R*E52/E53</f>
        <v>0</v>
      </c>
      <c r="F55" s="43">
        <f t="shared" si="0"/>
        <v>1.6877926390451875E-3</v>
      </c>
      <c r="G55" s="100">
        <f t="shared" si="0"/>
        <v>3.2068060141858557E-7</v>
      </c>
      <c r="H55" s="43">
        <f>SUM(H60:H61)*Constant_R*H52/H53</f>
        <v>5.6879196008359396E-2</v>
      </c>
      <c r="I55" s="43">
        <f t="shared" si="0"/>
        <v>4.3620495065319169E-2</v>
      </c>
      <c r="J55" s="100">
        <f t="shared" si="0"/>
        <v>4.5503356806687517E-2</v>
      </c>
      <c r="K55" s="43">
        <f t="shared" si="0"/>
        <v>3.3335792532371831E-4</v>
      </c>
      <c r="L55" s="43">
        <f t="shared" si="0"/>
        <v>5.0003688798557747E-4</v>
      </c>
      <c r="M55" s="100">
        <f t="shared" si="0"/>
        <v>0</v>
      </c>
    </row>
    <row r="56" spans="1:15" x14ac:dyDescent="0.25">
      <c r="A56" s="7"/>
      <c r="B56" s="14"/>
      <c r="C56" s="14"/>
      <c r="D56" s="31"/>
      <c r="E56" s="41"/>
      <c r="F56" s="41"/>
      <c r="G56" s="48"/>
      <c r="H56" s="69"/>
      <c r="I56" s="41"/>
      <c r="J56" s="48"/>
      <c r="K56" s="69"/>
      <c r="L56" s="41"/>
      <c r="M56" s="48"/>
    </row>
    <row r="57" spans="1:15" x14ac:dyDescent="0.25">
      <c r="A57" s="7"/>
      <c r="B57" s="11"/>
      <c r="C57" s="11"/>
      <c r="D57" s="7" t="s">
        <v>7</v>
      </c>
      <c r="E57" s="39"/>
      <c r="F57" s="41"/>
      <c r="G57" s="48"/>
      <c r="H57" s="69"/>
      <c r="I57" s="41"/>
      <c r="J57" s="48"/>
      <c r="K57" s="69"/>
      <c r="L57" s="41"/>
      <c r="M57" s="48"/>
    </row>
    <row r="58" spans="1:15" x14ac:dyDescent="0.25">
      <c r="A58" s="7"/>
      <c r="B58" s="17" t="s">
        <v>29</v>
      </c>
      <c r="C58" s="17"/>
      <c r="D58" s="34" t="s">
        <v>35</v>
      </c>
      <c r="E58" s="85">
        <f t="shared" ref="E58:M58" si="1">SUM(E59:E62)</f>
        <v>1.7029827232791699E-7</v>
      </c>
      <c r="F58" s="85">
        <f t="shared" si="1"/>
        <v>3.4059654465583397E-4</v>
      </c>
      <c r="G58" s="86">
        <f t="shared" si="1"/>
        <v>6.4713343484608452E-8</v>
      </c>
      <c r="H58" s="85">
        <f t="shared" si="1"/>
        <v>7.7485713909202234E-3</v>
      </c>
      <c r="I58" s="85">
        <f t="shared" si="1"/>
        <v>7.7485713909202234E-3</v>
      </c>
      <c r="J58" s="86">
        <f t="shared" si="1"/>
        <v>7.7485713909202234E-3</v>
      </c>
      <c r="K58" s="85">
        <f t="shared" si="1"/>
        <v>1.7264838848604236E-5</v>
      </c>
      <c r="L58" s="85">
        <f t="shared" si="1"/>
        <v>1.7201419771989321E-5</v>
      </c>
      <c r="M58" s="86">
        <f t="shared" si="1"/>
        <v>6.3419076614916278E-8</v>
      </c>
    </row>
    <row r="59" spans="1:15" x14ac:dyDescent="0.25">
      <c r="A59" s="7"/>
      <c r="B59" s="18" t="s">
        <v>17</v>
      </c>
      <c r="C59" s="25"/>
      <c r="D59" s="35"/>
      <c r="E59" s="44">
        <f>E65/MW_catalyst</f>
        <v>1.7029827232791699E-7</v>
      </c>
      <c r="F59" s="44"/>
      <c r="G59" s="56"/>
      <c r="H59" s="55"/>
      <c r="I59" s="44"/>
      <c r="J59" s="50"/>
      <c r="K59" s="44">
        <f>E59</f>
        <v>1.7029827232791699E-7</v>
      </c>
      <c r="L59" s="44">
        <f>K59</f>
        <v>1.7029827232791699E-7</v>
      </c>
      <c r="M59" s="50"/>
      <c r="O59" s="74"/>
    </row>
    <row r="60" spans="1:15" x14ac:dyDescent="0.25">
      <c r="A60" s="7"/>
      <c r="B60" s="18" t="s">
        <v>27</v>
      </c>
      <c r="C60" s="25"/>
      <c r="D60" s="35"/>
      <c r="E60" s="44"/>
      <c r="F60" s="82">
        <f>-I82/Conv_Overall</f>
        <v>3.4059654465583397E-4</v>
      </c>
      <c r="G60" s="56"/>
      <c r="H60" s="55">
        <f>I60</f>
        <v>7.7485713909202234E-3</v>
      </c>
      <c r="I60" s="44">
        <f>J60</f>
        <v>7.7485713909202234E-3</v>
      </c>
      <c r="J60" s="83">
        <f>-I82/Conv_SinglePass-F60</f>
        <v>7.7485713909202234E-3</v>
      </c>
      <c r="K60" s="82">
        <f>F60+I82</f>
        <v>1.702982723279171E-5</v>
      </c>
      <c r="L60" s="44">
        <f>K60</f>
        <v>1.702982723279171E-5</v>
      </c>
      <c r="M60" s="50"/>
      <c r="O60" s="74"/>
    </row>
    <row r="61" spans="1:15" x14ac:dyDescent="0.25">
      <c r="A61" s="7"/>
      <c r="B61" s="18" t="s">
        <v>19</v>
      </c>
      <c r="C61" s="25"/>
      <c r="D61" s="35"/>
      <c r="E61" s="44"/>
      <c r="F61" s="44"/>
      <c r="G61" s="83">
        <f>-I83</f>
        <v>6.4713343484608452E-8</v>
      </c>
      <c r="H61" s="55"/>
      <c r="I61" s="44"/>
      <c r="J61" s="50"/>
      <c r="K61" s="44"/>
      <c r="L61" s="53"/>
      <c r="M61" s="50"/>
    </row>
    <row r="62" spans="1:15" x14ac:dyDescent="0.25">
      <c r="A62" s="7"/>
      <c r="B62" s="18" t="s">
        <v>28</v>
      </c>
      <c r="C62" s="25"/>
      <c r="D62" s="35"/>
      <c r="E62" s="44"/>
      <c r="F62" s="44"/>
      <c r="G62" s="56"/>
      <c r="H62" s="55"/>
      <c r="I62" s="44"/>
      <c r="J62" s="50"/>
      <c r="K62" s="82">
        <f>M62/Product_Loss</f>
        <v>6.4713343484608452E-8</v>
      </c>
      <c r="L62" s="44">
        <f>K62-M62</f>
        <v>1.2942668696921741E-9</v>
      </c>
      <c r="M62" s="83">
        <f>D82</f>
        <v>6.3419076614916278E-8</v>
      </c>
    </row>
    <row r="63" spans="1:15" x14ac:dyDescent="0.25">
      <c r="A63" s="7"/>
      <c r="B63" s="18"/>
      <c r="C63" s="25"/>
      <c r="D63" s="35"/>
      <c r="E63" s="44"/>
      <c r="F63" s="44"/>
      <c r="G63" s="56"/>
      <c r="H63" s="55"/>
      <c r="I63" s="44"/>
      <c r="J63" s="50"/>
      <c r="K63" s="44"/>
      <c r="L63" s="53"/>
      <c r="M63" s="50"/>
    </row>
    <row r="64" spans="1:15" x14ac:dyDescent="0.25">
      <c r="A64" s="7"/>
      <c r="B64" s="17" t="s">
        <v>30</v>
      </c>
      <c r="C64" s="17"/>
      <c r="D64" s="34" t="s">
        <v>23</v>
      </c>
      <c r="E64" s="85">
        <f t="shared" ref="E64:M64" si="2">SUM(E65:E68)</f>
        <v>1.7029827232791699E-5</v>
      </c>
      <c r="F64" s="85">
        <f t="shared" si="2"/>
        <v>1.70298272327917E-2</v>
      </c>
      <c r="G64" s="86">
        <f t="shared" si="2"/>
        <v>1.294266869692169E-7</v>
      </c>
      <c r="H64" s="85">
        <f t="shared" si="2"/>
        <v>0.38742856954601118</v>
      </c>
      <c r="I64" s="85">
        <f t="shared" si="2"/>
        <v>0.38742856954601118</v>
      </c>
      <c r="J64" s="86">
        <f t="shared" si="2"/>
        <v>0.38742856954601118</v>
      </c>
      <c r="K64" s="85">
        <f t="shared" si="2"/>
        <v>1.7046986486711459E-2</v>
      </c>
      <c r="L64" s="85">
        <f t="shared" si="2"/>
        <v>1.1920904948291601E-3</v>
      </c>
      <c r="M64" s="86">
        <f t="shared" si="2"/>
        <v>1.5854895991882299E-2</v>
      </c>
    </row>
    <row r="65" spans="1:19" x14ac:dyDescent="0.25">
      <c r="A65" s="7"/>
      <c r="B65" s="18" t="s">
        <v>17</v>
      </c>
      <c r="C65" s="25"/>
      <c r="D65" s="35"/>
      <c r="E65" s="82">
        <f>F66*Catalyst_dosing_rate</f>
        <v>1.7029827232791699E-5</v>
      </c>
      <c r="F65" s="44"/>
      <c r="G65" s="56"/>
      <c r="H65" s="55"/>
      <c r="I65" s="44"/>
      <c r="J65" s="50"/>
      <c r="K65" s="44">
        <f>K59*MW_catalyst</f>
        <v>1.7029827232791699E-5</v>
      </c>
      <c r="L65" s="44">
        <f>L59*MW_catalyst</f>
        <v>1.7029827232791699E-5</v>
      </c>
      <c r="M65" s="50"/>
    </row>
    <row r="66" spans="1:19" x14ac:dyDescent="0.25">
      <c r="A66" s="7"/>
      <c r="B66" s="18" t="s">
        <v>27</v>
      </c>
      <c r="C66" s="25"/>
      <c r="D66" s="35"/>
      <c r="E66" s="44"/>
      <c r="F66" s="44">
        <f>F60*MW_monomer</f>
        <v>1.70298272327917E-2</v>
      </c>
      <c r="G66" s="56"/>
      <c r="H66" s="44">
        <f>H60*MW_monomer</f>
        <v>0.38742856954601118</v>
      </c>
      <c r="I66" s="44">
        <f>I60*MW_monomer</f>
        <v>0.38742856954601118</v>
      </c>
      <c r="J66" s="50">
        <f>J60*MW_monomer</f>
        <v>0.38742856954601118</v>
      </c>
      <c r="K66" s="44">
        <f>K60*MW_monomer</f>
        <v>8.5149136163958548E-4</v>
      </c>
      <c r="L66" s="44">
        <f>L60*MW_monomer</f>
        <v>8.5149136163958548E-4</v>
      </c>
      <c r="M66" s="50"/>
      <c r="Q66" s="91"/>
      <c r="S66" s="77"/>
    </row>
    <row r="67" spans="1:19" x14ac:dyDescent="0.25">
      <c r="A67" s="7"/>
      <c r="B67" s="18" t="s">
        <v>19</v>
      </c>
      <c r="C67" s="25"/>
      <c r="D67" s="35"/>
      <c r="E67" s="44"/>
      <c r="F67" s="44"/>
      <c r="G67" s="50">
        <f>G61*MW_H2</f>
        <v>1.294266869692169E-7</v>
      </c>
      <c r="H67" s="55"/>
      <c r="I67" s="44"/>
      <c r="J67" s="50"/>
      <c r="K67" s="72"/>
      <c r="L67" s="53"/>
      <c r="M67" s="50"/>
    </row>
    <row r="68" spans="1:19" x14ac:dyDescent="0.25">
      <c r="A68" s="7"/>
      <c r="B68" s="18" t="s">
        <v>28</v>
      </c>
      <c r="C68" s="25"/>
      <c r="D68" s="35"/>
      <c r="E68" s="44"/>
      <c r="F68" s="44"/>
      <c r="G68" s="56"/>
      <c r="H68" s="71"/>
      <c r="I68" s="44"/>
      <c r="J68" s="50"/>
      <c r="K68" s="72">
        <f>K62*MW_polymer</f>
        <v>1.6178465297839083E-2</v>
      </c>
      <c r="L68" s="44">
        <f>L62*MW_polymer</f>
        <v>3.2356930595678292E-4</v>
      </c>
      <c r="M68" s="50">
        <f>M62*MW_polymer</f>
        <v>1.5854895991882299E-2</v>
      </c>
      <c r="S68" s="77"/>
    </row>
    <row r="69" spans="1:19" x14ac:dyDescent="0.25">
      <c r="A69" s="7"/>
      <c r="B69" s="19"/>
      <c r="C69" s="26"/>
      <c r="D69" s="36"/>
      <c r="E69" s="45"/>
      <c r="F69" s="45"/>
      <c r="G69" s="51"/>
      <c r="H69" s="73"/>
      <c r="I69" s="45"/>
      <c r="J69" s="51"/>
      <c r="K69" s="84"/>
      <c r="L69" s="45"/>
      <c r="M69" s="51"/>
      <c r="Q69" s="91"/>
      <c r="S69" s="77"/>
    </row>
    <row r="70" spans="1:19" x14ac:dyDescent="0.25">
      <c r="A70" s="7"/>
      <c r="B70" s="108" t="s">
        <v>97</v>
      </c>
      <c r="C70" s="109"/>
      <c r="D70" s="115"/>
      <c r="E70" s="112" t="s">
        <v>81</v>
      </c>
      <c r="F70" s="113">
        <f>SUM(H64,K64)-SUM(E64,F64,G64,J64)</f>
        <v>0</v>
      </c>
      <c r="G70" s="115"/>
      <c r="H70" s="112" t="s">
        <v>82</v>
      </c>
      <c r="I70" s="113">
        <f>SUM(L64,M64)-K64</f>
        <v>0</v>
      </c>
      <c r="J70" s="115"/>
      <c r="K70" s="110" t="s">
        <v>14</v>
      </c>
      <c r="L70" s="111">
        <f>SUM(L64,M64)-SUM(E64,F64,G64)</f>
        <v>0</v>
      </c>
      <c r="M70" s="114"/>
      <c r="S70" s="77"/>
    </row>
    <row r="71" spans="1:19" x14ac:dyDescent="0.25">
      <c r="B71" s="11"/>
      <c r="C71" s="11"/>
      <c r="D71" s="11"/>
      <c r="E71" s="44"/>
      <c r="F71" s="44"/>
      <c r="G71" s="44"/>
      <c r="H71" s="54"/>
      <c r="I71" s="44"/>
      <c r="J71" s="44"/>
      <c r="K71" s="44"/>
      <c r="L71" s="44"/>
      <c r="M71" s="44"/>
    </row>
    <row r="77" spans="1:19" s="122" customFormat="1" ht="18.75" x14ac:dyDescent="0.3">
      <c r="A77" s="123" t="s">
        <v>62</v>
      </c>
    </row>
    <row r="80" spans="1:19" ht="18.75" x14ac:dyDescent="0.3">
      <c r="B80" s="119" t="s">
        <v>96</v>
      </c>
      <c r="C80" s="119"/>
      <c r="D80" s="120"/>
      <c r="E80" s="120"/>
      <c r="F80" s="121"/>
      <c r="G80" s="119" t="s">
        <v>95</v>
      </c>
      <c r="H80" s="119"/>
      <c r="I80" s="120"/>
      <c r="J80" s="120"/>
      <c r="K80" s="121"/>
    </row>
    <row r="81" spans="2:12" x14ac:dyDescent="0.25">
      <c r="B81" s="91" t="s">
        <v>1</v>
      </c>
      <c r="D81" s="77">
        <f>D6*kg_per_t/s_per_yr</f>
        <v>1.5854895991882299E-2</v>
      </c>
      <c r="E81" t="s">
        <v>23</v>
      </c>
      <c r="G81" s="91" t="s">
        <v>28</v>
      </c>
      <c r="I81" s="77">
        <f>D82/Product_Loss</f>
        <v>6.4713343484608452E-8</v>
      </c>
      <c r="J81" t="s">
        <v>35</v>
      </c>
    </row>
    <row r="82" spans="2:12" x14ac:dyDescent="0.25">
      <c r="B82" s="91"/>
      <c r="D82" s="77">
        <f>D81/MW_polymer</f>
        <v>6.3419076614916278E-8</v>
      </c>
      <c r="E82" t="s">
        <v>35</v>
      </c>
      <c r="G82" s="91" t="s">
        <v>18</v>
      </c>
      <c r="I82" s="77">
        <f>-I81*Length_Polymer</f>
        <v>-3.2356671742304226E-4</v>
      </c>
      <c r="J82" t="s">
        <v>35</v>
      </c>
    </row>
    <row r="83" spans="2:12" x14ac:dyDescent="0.25">
      <c r="B83" s="91" t="s">
        <v>78</v>
      </c>
      <c r="D83" s="6">
        <f>D11+273.15</f>
        <v>353.15</v>
      </c>
      <c r="E83" t="s">
        <v>40</v>
      </c>
      <c r="G83" s="91" t="s">
        <v>19</v>
      </c>
      <c r="I83" s="77">
        <f>-I81</f>
        <v>-6.4713343484608452E-8</v>
      </c>
      <c r="J83" t="s">
        <v>35</v>
      </c>
    </row>
    <row r="84" spans="2:12" x14ac:dyDescent="0.25">
      <c r="B84" s="91" t="s">
        <v>375</v>
      </c>
      <c r="D84" s="309">
        <v>1.5</v>
      </c>
      <c r="E84" t="s">
        <v>12</v>
      </c>
    </row>
    <row r="87" spans="2:12" x14ac:dyDescent="0.25">
      <c r="L87" s="91"/>
    </row>
    <row r="88" spans="2:12" ht="18.75" x14ac:dyDescent="0.3">
      <c r="B88" s="119" t="s">
        <v>36</v>
      </c>
      <c r="C88" s="119"/>
      <c r="D88" s="120"/>
      <c r="E88" s="120"/>
      <c r="G88" s="119" t="s">
        <v>249</v>
      </c>
      <c r="H88" s="119"/>
      <c r="I88" s="120"/>
      <c r="J88" s="120"/>
      <c r="L88" s="91"/>
    </row>
    <row r="89" spans="2:12" x14ac:dyDescent="0.25">
      <c r="B89" s="91" t="s">
        <v>17</v>
      </c>
      <c r="D89" s="232">
        <v>100</v>
      </c>
      <c r="E89" t="s">
        <v>34</v>
      </c>
      <c r="G89" s="91" t="s">
        <v>93</v>
      </c>
      <c r="I89" s="77">
        <f>M64</f>
        <v>1.5854895991882299E-2</v>
      </c>
      <c r="J89" t="s">
        <v>23</v>
      </c>
      <c r="L89" s="91"/>
    </row>
    <row r="90" spans="2:12" x14ac:dyDescent="0.25">
      <c r="B90" s="91" t="s">
        <v>18</v>
      </c>
      <c r="D90" s="300">
        <v>50</v>
      </c>
      <c r="E90" t="s">
        <v>34</v>
      </c>
      <c r="G90" s="91" t="s">
        <v>17</v>
      </c>
      <c r="I90" s="77">
        <f>E64</f>
        <v>1.7029827232791699E-5</v>
      </c>
      <c r="J90" t="s">
        <v>23</v>
      </c>
    </row>
    <row r="91" spans="2:12" x14ac:dyDescent="0.25">
      <c r="B91" s="91" t="s">
        <v>19</v>
      </c>
      <c r="D91" s="300">
        <v>2</v>
      </c>
      <c r="E91" t="s">
        <v>34</v>
      </c>
      <c r="G91" s="91" t="s">
        <v>18</v>
      </c>
      <c r="I91" s="77">
        <f>F64</f>
        <v>1.70298272327917E-2</v>
      </c>
      <c r="J91" t="s">
        <v>23</v>
      </c>
    </row>
    <row r="92" spans="2:12" x14ac:dyDescent="0.25">
      <c r="B92" s="91" t="s">
        <v>28</v>
      </c>
      <c r="D92" s="81">
        <f>MW_monomer*Length_Polymer+MW_H2</f>
        <v>250002</v>
      </c>
      <c r="E92" t="s">
        <v>34</v>
      </c>
      <c r="G92" s="91" t="s">
        <v>19</v>
      </c>
      <c r="I92" s="77">
        <f>G64</f>
        <v>1.294266869692169E-7</v>
      </c>
      <c r="J92" t="s">
        <v>23</v>
      </c>
    </row>
  </sheetData>
  <pageMargins left="0.7" right="0.7" top="0.75" bottom="0.75" header="0.3" footer="0.3"/>
  <pageSetup orientation="portrait" horizontalDpi="4294967293"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tint="-0.499984740745262"/>
  </sheetPr>
  <dimension ref="A1:N79"/>
  <sheetViews>
    <sheetView showGridLines="0" zoomScale="85" zoomScaleNormal="85" workbookViewId="0">
      <selection activeCell="A30" sqref="A30"/>
    </sheetView>
  </sheetViews>
  <sheetFormatPr defaultColWidth="11.42578125" defaultRowHeight="15" x14ac:dyDescent="0.25"/>
  <cols>
    <col min="1" max="1" width="2.85546875" customWidth="1"/>
    <col min="2" max="10" width="14.28515625" customWidth="1"/>
  </cols>
  <sheetData>
    <row r="1" spans="1:9" ht="26.25" x14ac:dyDescent="0.4">
      <c r="A1" s="4" t="s">
        <v>77</v>
      </c>
      <c r="G1" s="3"/>
      <c r="H1" s="1"/>
    </row>
    <row r="2" spans="1:9" s="244" customFormat="1" x14ac:dyDescent="0.25">
      <c r="B2" s="244" t="s">
        <v>270</v>
      </c>
    </row>
    <row r="3" spans="1:9" ht="15" customHeight="1" x14ac:dyDescent="0.25">
      <c r="B3" s="11"/>
      <c r="C3" s="11"/>
      <c r="D3" s="11"/>
      <c r="E3" s="237"/>
      <c r="F3" s="237"/>
      <c r="G3" s="237"/>
      <c r="H3" s="237"/>
      <c r="I3" s="11"/>
    </row>
    <row r="4" spans="1:9" ht="39" customHeight="1" x14ac:dyDescent="0.25">
      <c r="A4" s="11"/>
      <c r="B4" s="142" t="s">
        <v>253</v>
      </c>
      <c r="C4" s="143"/>
      <c r="D4" s="144"/>
      <c r="E4" s="145" t="s">
        <v>84</v>
      </c>
      <c r="F4" s="145" t="s">
        <v>119</v>
      </c>
      <c r="G4" s="145" t="s">
        <v>63</v>
      </c>
      <c r="H4" s="145" t="s">
        <v>104</v>
      </c>
    </row>
    <row r="5" spans="1:9" x14ac:dyDescent="0.25">
      <c r="A5" s="7"/>
      <c r="B5" s="91" t="s">
        <v>118</v>
      </c>
      <c r="D5" s="7" t="s">
        <v>0</v>
      </c>
      <c r="E5" s="131" t="s">
        <v>115</v>
      </c>
      <c r="F5" s="140" t="s">
        <v>120</v>
      </c>
      <c r="G5" s="140" t="s">
        <v>121</v>
      </c>
      <c r="H5" s="140" t="s">
        <v>115</v>
      </c>
    </row>
    <row r="6" spans="1:9" x14ac:dyDescent="0.25">
      <c r="A6" s="7"/>
      <c r="B6" s="91" t="s">
        <v>116</v>
      </c>
      <c r="D6" s="7" t="s">
        <v>0</v>
      </c>
      <c r="E6" s="131" t="s">
        <v>13</v>
      </c>
      <c r="F6" s="140" t="s">
        <v>53</v>
      </c>
      <c r="G6" s="140" t="s">
        <v>72</v>
      </c>
      <c r="H6" s="140" t="s">
        <v>13</v>
      </c>
    </row>
    <row r="7" spans="1:9" x14ac:dyDescent="0.25">
      <c r="A7" s="7"/>
      <c r="B7" s="91" t="s">
        <v>73</v>
      </c>
      <c r="D7" s="7" t="s">
        <v>0</v>
      </c>
      <c r="E7" s="134">
        <f>D36</f>
        <v>23.844111221726717</v>
      </c>
      <c r="F7" s="146">
        <f>D60</f>
        <v>13.411624918638752</v>
      </c>
      <c r="G7" s="147">
        <f>I60</f>
        <v>7.7571163926521631</v>
      </c>
      <c r="H7" s="146">
        <f>I36</f>
        <v>1.2632510854372485</v>
      </c>
    </row>
    <row r="8" spans="1:9" x14ac:dyDescent="0.25">
      <c r="A8" s="7"/>
      <c r="B8" s="132"/>
      <c r="C8" s="22"/>
      <c r="D8" s="29"/>
      <c r="E8" s="138"/>
      <c r="F8" s="138"/>
      <c r="G8" s="138"/>
      <c r="H8" s="138"/>
    </row>
    <row r="9" spans="1:9" x14ac:dyDescent="0.25">
      <c r="A9" s="7"/>
      <c r="B9" s="91" t="s">
        <v>55</v>
      </c>
      <c r="D9" s="7" t="s">
        <v>182</v>
      </c>
      <c r="E9" s="134"/>
      <c r="F9" s="204">
        <f>D76</f>
        <v>117485.83428727547</v>
      </c>
      <c r="G9" s="148"/>
      <c r="H9" s="131"/>
    </row>
    <row r="10" spans="1:9" x14ac:dyDescent="0.25">
      <c r="A10" s="7"/>
      <c r="B10" s="91" t="s">
        <v>117</v>
      </c>
      <c r="D10" s="7" t="s">
        <v>3</v>
      </c>
      <c r="E10" s="134"/>
      <c r="F10" s="131"/>
      <c r="G10" s="204">
        <f>I70</f>
        <v>12980.991239839361</v>
      </c>
      <c r="H10" s="131"/>
    </row>
    <row r="11" spans="1:9" x14ac:dyDescent="0.25">
      <c r="A11" s="7"/>
      <c r="B11" s="141"/>
      <c r="C11" s="135"/>
      <c r="D11" s="136"/>
      <c r="E11" s="139"/>
      <c r="F11" s="139"/>
      <c r="G11" s="139"/>
      <c r="H11" s="139"/>
    </row>
    <row r="12" spans="1:9" x14ac:dyDescent="0.25">
      <c r="E12" s="63"/>
      <c r="F12" s="63"/>
      <c r="G12" s="63"/>
      <c r="H12" s="63"/>
    </row>
    <row r="31" spans="2:10" ht="23.25" x14ac:dyDescent="0.35">
      <c r="B31" s="88" t="s">
        <v>38</v>
      </c>
      <c r="C31" s="90"/>
      <c r="D31" s="90"/>
      <c r="E31" s="90"/>
      <c r="G31" s="88" t="s">
        <v>48</v>
      </c>
      <c r="H31" s="88"/>
      <c r="I31" s="88"/>
      <c r="J31" s="90"/>
    </row>
    <row r="32" spans="2:10" x14ac:dyDescent="0.25">
      <c r="B32" s="91" t="s">
        <v>45</v>
      </c>
      <c r="D32" s="309">
        <v>8</v>
      </c>
      <c r="E32" t="s">
        <v>46</v>
      </c>
      <c r="G32" s="91" t="s">
        <v>45</v>
      </c>
      <c r="I32" s="300">
        <v>60</v>
      </c>
      <c r="J32" t="s">
        <v>46</v>
      </c>
    </row>
    <row r="33" spans="2:10" x14ac:dyDescent="0.25">
      <c r="B33" s="91" t="s">
        <v>39</v>
      </c>
      <c r="D33" s="77">
        <f>SUM('Process model'!E55,'Process model'!F55,'Process model'!G55,'Process model'!J55)/Utilization</f>
        <v>4.9675231711930661E-2</v>
      </c>
      <c r="E33" t="s">
        <v>43</v>
      </c>
      <c r="G33" s="91" t="s">
        <v>39</v>
      </c>
      <c r="I33" s="77">
        <f>'Process model'!K55/Utilization</f>
        <v>3.5090307928812458E-4</v>
      </c>
      <c r="J33" t="s">
        <v>43</v>
      </c>
    </row>
    <row r="35" spans="2:10" x14ac:dyDescent="0.25">
      <c r="B35" s="94" t="s">
        <v>54</v>
      </c>
      <c r="C35" s="94"/>
      <c r="D35" s="94"/>
      <c r="E35" s="94"/>
      <c r="G35" s="94" t="s">
        <v>62</v>
      </c>
      <c r="H35" s="94"/>
      <c r="I35" s="94"/>
      <c r="J35" s="94"/>
    </row>
    <row r="36" spans="2:10" x14ac:dyDescent="0.25">
      <c r="B36" s="91" t="s">
        <v>122</v>
      </c>
      <c r="D36" s="77">
        <f>D41</f>
        <v>23.844111221726717</v>
      </c>
      <c r="E36" t="s">
        <v>13</v>
      </c>
      <c r="G36" s="91" t="s">
        <v>122</v>
      </c>
      <c r="I36" s="77">
        <f>I41</f>
        <v>1.2632510854372485</v>
      </c>
      <c r="J36" t="s">
        <v>13</v>
      </c>
    </row>
    <row r="37" spans="2:10" x14ac:dyDescent="0.25">
      <c r="B37" s="91" t="s">
        <v>11</v>
      </c>
      <c r="D37" s="2">
        <f>P_Reactor</f>
        <v>5</v>
      </c>
      <c r="E37" t="s">
        <v>12</v>
      </c>
      <c r="G37" s="91" t="s">
        <v>11</v>
      </c>
      <c r="I37" s="2">
        <f>'Process model'!K53</f>
        <v>1.5</v>
      </c>
      <c r="J37" t="s">
        <v>12</v>
      </c>
    </row>
    <row r="39" spans="2:10" x14ac:dyDescent="0.25">
      <c r="B39" s="94" t="s">
        <v>62</v>
      </c>
      <c r="C39" s="94"/>
      <c r="D39" s="94"/>
      <c r="E39" s="94"/>
      <c r="G39" s="94" t="s">
        <v>62</v>
      </c>
      <c r="H39" s="94"/>
      <c r="I39" s="94"/>
      <c r="J39" s="94"/>
    </row>
    <row r="40" spans="2:10" x14ac:dyDescent="0.25">
      <c r="B40" s="91" t="s">
        <v>45</v>
      </c>
      <c r="D40">
        <f>D32*s_per_min</f>
        <v>480</v>
      </c>
      <c r="E40" t="s">
        <v>33</v>
      </c>
      <c r="G40" s="91" t="s">
        <v>45</v>
      </c>
      <c r="I40">
        <f>I32*s_per_min</f>
        <v>3600</v>
      </c>
      <c r="J40" t="s">
        <v>33</v>
      </c>
    </row>
    <row r="41" spans="2:10" x14ac:dyDescent="0.25">
      <c r="B41" s="91" t="s">
        <v>44</v>
      </c>
      <c r="D41" s="77">
        <f>D33*D40</f>
        <v>23.844111221726717</v>
      </c>
      <c r="E41" t="s">
        <v>13</v>
      </c>
      <c r="G41" s="91" t="s">
        <v>44</v>
      </c>
      <c r="I41" s="77">
        <f>I33*I40</f>
        <v>1.2632510854372485</v>
      </c>
      <c r="J41" t="s">
        <v>13</v>
      </c>
    </row>
    <row r="42" spans="2:10" x14ac:dyDescent="0.25">
      <c r="B42" s="122"/>
      <c r="C42" s="122"/>
      <c r="D42" s="122"/>
      <c r="E42" s="122"/>
      <c r="G42" s="122"/>
      <c r="H42" s="122"/>
      <c r="I42" s="122"/>
      <c r="J42" s="122"/>
    </row>
    <row r="51" spans="2:11" ht="23.25" x14ac:dyDescent="0.35">
      <c r="B51" s="88" t="s">
        <v>123</v>
      </c>
      <c r="C51" s="88"/>
      <c r="D51" s="90"/>
      <c r="E51" s="90"/>
      <c r="G51" s="88" t="s">
        <v>124</v>
      </c>
      <c r="H51" s="89"/>
      <c r="I51" s="90"/>
      <c r="J51" s="90"/>
    </row>
    <row r="52" spans="2:11" x14ac:dyDescent="0.25">
      <c r="B52" s="92" t="s">
        <v>52</v>
      </c>
      <c r="C52" s="92"/>
      <c r="D52" s="230">
        <v>0.7</v>
      </c>
      <c r="E52" t="s">
        <v>0</v>
      </c>
      <c r="G52" s="91" t="s">
        <v>113</v>
      </c>
      <c r="H52" s="91"/>
      <c r="I52" s="232">
        <v>303</v>
      </c>
      <c r="J52" t="s">
        <v>40</v>
      </c>
    </row>
    <row r="53" spans="2:11" x14ac:dyDescent="0.25">
      <c r="B53" s="92" t="s">
        <v>112</v>
      </c>
      <c r="C53" s="92"/>
      <c r="D53" s="304">
        <v>1.4</v>
      </c>
      <c r="E53" t="s">
        <v>0</v>
      </c>
      <c r="G53" s="91" t="s">
        <v>114</v>
      </c>
      <c r="H53" s="91"/>
      <c r="I53" s="232">
        <v>318</v>
      </c>
      <c r="J53" t="s">
        <v>40</v>
      </c>
    </row>
    <row r="54" spans="2:11" x14ac:dyDescent="0.25">
      <c r="B54" s="91" t="s">
        <v>99</v>
      </c>
      <c r="C54" s="91"/>
      <c r="D54" s="77">
        <f>'Process model'!H55/Utilization</f>
        <v>5.9872837903536209E-2</v>
      </c>
      <c r="E54" t="s">
        <v>43</v>
      </c>
      <c r="G54" s="91" t="s">
        <v>49</v>
      </c>
      <c r="I54" s="77">
        <f>'Process model'!I58/Utilization</f>
        <v>8.1563909378107625E-3</v>
      </c>
      <c r="J54" t="s">
        <v>35</v>
      </c>
    </row>
    <row r="55" spans="2:11" x14ac:dyDescent="0.25">
      <c r="B55" s="91" t="s">
        <v>51</v>
      </c>
      <c r="C55" s="91"/>
      <c r="D55" s="129">
        <f>'Process model'!H52</f>
        <v>353.15</v>
      </c>
      <c r="E55" t="s">
        <v>40</v>
      </c>
      <c r="G55" s="91" t="s">
        <v>65</v>
      </c>
      <c r="H55" s="91"/>
      <c r="I55" s="6">
        <f>'Process model'!I52</f>
        <v>392.70312213234456</v>
      </c>
      <c r="J55" t="s">
        <v>40</v>
      </c>
    </row>
    <row r="56" spans="2:11" x14ac:dyDescent="0.25">
      <c r="B56" s="91" t="s">
        <v>50</v>
      </c>
      <c r="C56" s="91"/>
      <c r="D56" s="128">
        <f>'Process model'!H53</f>
        <v>4</v>
      </c>
      <c r="E56" t="s">
        <v>12</v>
      </c>
      <c r="G56" s="91" t="s">
        <v>66</v>
      </c>
      <c r="H56" s="91"/>
      <c r="I56" s="79">
        <f>'Process model'!J52</f>
        <v>353.15</v>
      </c>
      <c r="J56" t="s">
        <v>40</v>
      </c>
    </row>
    <row r="57" spans="2:11" x14ac:dyDescent="0.25">
      <c r="B57" s="91" t="s">
        <v>98</v>
      </c>
      <c r="D57" s="128">
        <f>'Process model'!I53</f>
        <v>5.8</v>
      </c>
      <c r="E57" t="s">
        <v>12</v>
      </c>
    </row>
    <row r="59" spans="2:11" x14ac:dyDescent="0.25">
      <c r="B59" s="94" t="s">
        <v>54</v>
      </c>
      <c r="C59" s="94"/>
      <c r="D59" s="94"/>
      <c r="E59" s="94"/>
      <c r="G59" s="94" t="s">
        <v>54</v>
      </c>
      <c r="H59" s="94"/>
      <c r="I59" s="94"/>
      <c r="J59" s="94"/>
    </row>
    <row r="60" spans="2:11" x14ac:dyDescent="0.25">
      <c r="B60" s="91" t="s">
        <v>55</v>
      </c>
      <c r="C60" s="91"/>
      <c r="D60" s="80">
        <f>D75</f>
        <v>13.411624918638752</v>
      </c>
      <c r="E60" t="s">
        <v>53</v>
      </c>
      <c r="G60" s="91" t="s">
        <v>73</v>
      </c>
      <c r="I60" s="80">
        <f>I78</f>
        <v>7.7571163926521631</v>
      </c>
      <c r="J60" t="s">
        <v>72</v>
      </c>
    </row>
    <row r="61" spans="2:11" x14ac:dyDescent="0.25">
      <c r="B61" s="91"/>
      <c r="C61" s="91"/>
      <c r="D61" s="80"/>
      <c r="G61" s="91" t="s">
        <v>76</v>
      </c>
      <c r="I61" s="99">
        <f>I69</f>
        <v>0.41162453195837662</v>
      </c>
      <c r="J61" t="s">
        <v>23</v>
      </c>
    </row>
    <row r="62" spans="2:11" x14ac:dyDescent="0.25">
      <c r="B62" s="91"/>
      <c r="C62" s="91"/>
      <c r="D62" s="77"/>
    </row>
    <row r="63" spans="2:11" x14ac:dyDescent="0.25">
      <c r="B63" s="94" t="s">
        <v>102</v>
      </c>
      <c r="C63" s="94"/>
      <c r="D63" s="94"/>
      <c r="E63" s="94"/>
      <c r="G63" s="94" t="s">
        <v>74</v>
      </c>
      <c r="H63" s="94"/>
      <c r="I63" s="94"/>
      <c r="J63" s="94"/>
    </row>
    <row r="64" spans="2:11" x14ac:dyDescent="0.25">
      <c r="B64" s="91" t="s">
        <v>99</v>
      </c>
      <c r="C64" s="91"/>
      <c r="D64" s="77">
        <f>D54</f>
        <v>5.9872837903536209E-2</v>
      </c>
      <c r="E64" t="s">
        <v>43</v>
      </c>
      <c r="G64" s="91" t="s">
        <v>100</v>
      </c>
      <c r="H64" s="91"/>
      <c r="I64" s="302">
        <v>80</v>
      </c>
      <c r="J64" t="s">
        <v>67</v>
      </c>
      <c r="K64" s="60"/>
    </row>
    <row r="65" spans="2:14" x14ac:dyDescent="0.25">
      <c r="B65" s="91" t="s">
        <v>50</v>
      </c>
      <c r="C65" s="91"/>
      <c r="D65" s="6">
        <f>D56*kPa_per_bar</f>
        <v>400</v>
      </c>
      <c r="E65" t="s">
        <v>58</v>
      </c>
      <c r="G65" s="91" t="s">
        <v>105</v>
      </c>
      <c r="H65" s="91"/>
      <c r="I65" s="6">
        <f>I55-I56</f>
        <v>39.553122132344583</v>
      </c>
      <c r="J65" t="s">
        <v>40</v>
      </c>
    </row>
    <row r="66" spans="2:14" x14ac:dyDescent="0.25">
      <c r="B66" s="91" t="s">
        <v>98</v>
      </c>
      <c r="C66" s="91"/>
      <c r="D66" s="6">
        <f>D57*kPa_per_bar</f>
        <v>580</v>
      </c>
      <c r="E66" t="s">
        <v>58</v>
      </c>
      <c r="G66" s="91" t="s">
        <v>101</v>
      </c>
      <c r="H66" s="91"/>
      <c r="I66" s="130">
        <f>I54*I64*I65</f>
        <v>25.808858153790212</v>
      </c>
      <c r="J66" s="62" t="s">
        <v>53</v>
      </c>
    </row>
    <row r="67" spans="2:14" x14ac:dyDescent="0.25">
      <c r="G67" s="91" t="s">
        <v>109</v>
      </c>
      <c r="H67" s="91"/>
      <c r="I67" s="232">
        <v>4.18</v>
      </c>
      <c r="J67" t="s">
        <v>69</v>
      </c>
    </row>
    <row r="68" spans="2:14" x14ac:dyDescent="0.25">
      <c r="B68" s="91" t="s">
        <v>57</v>
      </c>
      <c r="C68" s="91"/>
      <c r="D68" s="80">
        <f>D66/D65</f>
        <v>1.45</v>
      </c>
      <c r="E68" t="s">
        <v>0</v>
      </c>
      <c r="G68" s="91" t="s">
        <v>110</v>
      </c>
      <c r="H68" s="91"/>
      <c r="I68">
        <f>I53-I52</f>
        <v>15</v>
      </c>
      <c r="J68" t="s">
        <v>40</v>
      </c>
      <c r="N68" s="79"/>
    </row>
    <row r="69" spans="2:14" x14ac:dyDescent="0.25">
      <c r="B69" s="95" t="s">
        <v>56</v>
      </c>
      <c r="C69" s="95"/>
      <c r="D69" s="96">
        <f>D53/(D53-1)</f>
        <v>3.5000000000000004</v>
      </c>
      <c r="G69" s="91" t="s">
        <v>111</v>
      </c>
      <c r="H69" s="91"/>
      <c r="I69" s="99">
        <f>I66/Cp_H2O/I68</f>
        <v>0.41162453195837662</v>
      </c>
      <c r="J69" t="s">
        <v>23</v>
      </c>
    </row>
    <row r="70" spans="2:14" x14ac:dyDescent="0.25">
      <c r="I70" s="77">
        <f>I69/kg_per_t*s_per_yr</f>
        <v>12980.991239839361</v>
      </c>
      <c r="J70" t="s">
        <v>3</v>
      </c>
    </row>
    <row r="71" spans="2:14" x14ac:dyDescent="0.25">
      <c r="B71" s="91" t="s">
        <v>51</v>
      </c>
      <c r="C71" s="91"/>
      <c r="D71" s="79">
        <f>D55</f>
        <v>353.15</v>
      </c>
      <c r="E71" t="s">
        <v>40</v>
      </c>
    </row>
    <row r="72" spans="2:14" x14ac:dyDescent="0.25">
      <c r="B72" s="91" t="s">
        <v>61</v>
      </c>
      <c r="C72" s="91"/>
      <c r="D72" s="6">
        <f>D71*D68^(1/D69)</f>
        <v>392.70312213234456</v>
      </c>
      <c r="E72" t="s">
        <v>40</v>
      </c>
      <c r="G72" s="94" t="s">
        <v>75</v>
      </c>
      <c r="H72" s="94"/>
      <c r="I72" s="94"/>
      <c r="J72" s="94"/>
    </row>
    <row r="73" spans="2:14" x14ac:dyDescent="0.25">
      <c r="G73" s="91" t="s">
        <v>106</v>
      </c>
      <c r="H73" s="91"/>
      <c r="I73" s="2">
        <f>I55-I53</f>
        <v>74.703122132344561</v>
      </c>
      <c r="J73" t="s">
        <v>40</v>
      </c>
    </row>
    <row r="74" spans="2:14" x14ac:dyDescent="0.25">
      <c r="B74" s="91" t="s">
        <v>59</v>
      </c>
      <c r="C74" s="91"/>
      <c r="D74" s="80">
        <f>D54*D65*D69*(D68^(1/D69)-1)</f>
        <v>9.3881374430471265</v>
      </c>
      <c r="E74" t="s">
        <v>53</v>
      </c>
      <c r="G74" s="91" t="s">
        <v>107</v>
      </c>
      <c r="H74" s="91"/>
      <c r="I74" s="2">
        <f>I56-I52</f>
        <v>50.149999999999977</v>
      </c>
      <c r="J74" t="s">
        <v>40</v>
      </c>
    </row>
    <row r="75" spans="2:14" x14ac:dyDescent="0.25">
      <c r="B75" s="93" t="s">
        <v>55</v>
      </c>
      <c r="C75" s="93"/>
      <c r="D75" s="80">
        <f>D74/D52</f>
        <v>13.411624918638752</v>
      </c>
      <c r="E75" t="s">
        <v>53</v>
      </c>
      <c r="G75" s="91" t="s">
        <v>108</v>
      </c>
      <c r="H75" s="91"/>
      <c r="I75" s="2">
        <f>(I73-I74)/LN(I73/I74)</f>
        <v>61.613335867372889</v>
      </c>
      <c r="J75" t="s">
        <v>40</v>
      </c>
    </row>
    <row r="76" spans="2:14" x14ac:dyDescent="0.25">
      <c r="D76" s="6">
        <f>D75*h_per_yr</f>
        <v>117485.83428727547</v>
      </c>
      <c r="E76" t="s">
        <v>182</v>
      </c>
      <c r="G76" s="91" t="s">
        <v>68</v>
      </c>
      <c r="H76" s="91"/>
      <c r="I76" s="310">
        <v>0.06</v>
      </c>
      <c r="J76" t="s">
        <v>103</v>
      </c>
    </row>
    <row r="77" spans="2:14" x14ac:dyDescent="0.25">
      <c r="G77" s="91" t="s">
        <v>70</v>
      </c>
      <c r="H77" s="91"/>
      <c r="I77" s="304">
        <v>0.9</v>
      </c>
    </row>
    <row r="78" spans="2:14" x14ac:dyDescent="0.25">
      <c r="G78" s="91" t="s">
        <v>71</v>
      </c>
      <c r="H78" s="91"/>
      <c r="I78" s="80">
        <f>I66/I75/I76/I77</f>
        <v>7.7571163926521631</v>
      </c>
      <c r="J78" t="s">
        <v>72</v>
      </c>
    </row>
    <row r="79" spans="2:14" x14ac:dyDescent="0.25">
      <c r="B79" s="97"/>
      <c r="C79" s="97"/>
      <c r="D79" s="98"/>
      <c r="E79" s="97"/>
      <c r="G79" s="97"/>
      <c r="H79" s="97"/>
      <c r="I79" s="98"/>
      <c r="J79" s="97"/>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I28"/>
  <sheetViews>
    <sheetView showGridLines="0" zoomScale="85" zoomScaleNormal="85" workbookViewId="0">
      <selection activeCell="A30" sqref="A30"/>
    </sheetView>
  </sheetViews>
  <sheetFormatPr defaultColWidth="11.42578125" defaultRowHeight="15" x14ac:dyDescent="0.25"/>
  <cols>
    <col min="1" max="1" width="2.85546875" customWidth="1"/>
    <col min="2" max="16" width="14.28515625" customWidth="1"/>
  </cols>
  <sheetData>
    <row r="1" spans="1:9" ht="26.25" x14ac:dyDescent="0.4">
      <c r="A1" s="4" t="s">
        <v>251</v>
      </c>
    </row>
    <row r="2" spans="1:9" s="244" customFormat="1" x14ac:dyDescent="0.25">
      <c r="B2" s="244" t="s">
        <v>271</v>
      </c>
    </row>
    <row r="3" spans="1:9" ht="18.75" customHeight="1" x14ac:dyDescent="0.3">
      <c r="G3" s="3"/>
      <c r="H3" s="1"/>
    </row>
    <row r="4" spans="1:9" ht="18.75" x14ac:dyDescent="0.3">
      <c r="E4" s="156" t="s">
        <v>252</v>
      </c>
      <c r="F4" s="156"/>
      <c r="G4" s="156"/>
      <c r="H4" s="157">
        <f>SUM(E26:H26)</f>
        <v>398610.43804286746</v>
      </c>
    </row>
    <row r="5" spans="1:9" x14ac:dyDescent="0.25">
      <c r="B5" s="11"/>
      <c r="C5" s="11"/>
      <c r="E5" s="174" t="s">
        <v>348</v>
      </c>
      <c r="F5" s="359"/>
      <c r="G5" s="359"/>
      <c r="H5" s="359" t="b">
        <f>AND(E17:H17)</f>
        <v>1</v>
      </c>
      <c r="I5" s="11"/>
    </row>
    <row r="6" spans="1:9" x14ac:dyDescent="0.25">
      <c r="B6" s="11"/>
      <c r="C6" s="11"/>
      <c r="E6" s="237"/>
      <c r="F6" s="237"/>
      <c r="G6" s="237"/>
      <c r="H6" s="237"/>
    </row>
    <row r="7" spans="1:9" ht="37.5" x14ac:dyDescent="0.25">
      <c r="A7" s="11"/>
      <c r="B7" s="142"/>
      <c r="C7" s="143"/>
      <c r="D7" s="144"/>
      <c r="E7" s="145" t="s">
        <v>84</v>
      </c>
      <c r="F7" s="145" t="s">
        <v>119</v>
      </c>
      <c r="G7" s="152" t="s">
        <v>63</v>
      </c>
      <c r="H7" s="145" t="s">
        <v>104</v>
      </c>
    </row>
    <row r="8" spans="1:9" x14ac:dyDescent="0.25">
      <c r="A8" s="7"/>
      <c r="B8" s="91" t="s">
        <v>118</v>
      </c>
      <c r="D8" s="151"/>
      <c r="E8" s="131" t="str">
        <f>'Equipment sizing'!E5</f>
        <v>Volume</v>
      </c>
      <c r="F8" s="131" t="str">
        <f>'Equipment sizing'!F5</f>
        <v>Power</v>
      </c>
      <c r="G8" s="154" t="str">
        <f>'Equipment sizing'!G5</f>
        <v>Area</v>
      </c>
      <c r="H8" s="131" t="str">
        <f>'Equipment sizing'!H5</f>
        <v>Volume</v>
      </c>
    </row>
    <row r="9" spans="1:9" x14ac:dyDescent="0.25">
      <c r="A9" s="7"/>
      <c r="B9" s="91" t="s">
        <v>116</v>
      </c>
      <c r="D9" s="7"/>
      <c r="E9" s="131" t="str">
        <f>'Equipment sizing'!E6</f>
        <v>m3</v>
      </c>
      <c r="F9" s="131" t="str">
        <f>'Equipment sizing'!F6</f>
        <v>kW</v>
      </c>
      <c r="G9" s="131" t="str">
        <f>'Equipment sizing'!G6</f>
        <v>m2</v>
      </c>
      <c r="H9" s="131" t="str">
        <f>'Equipment sizing'!H6</f>
        <v>m3</v>
      </c>
    </row>
    <row r="10" spans="1:9" x14ac:dyDescent="0.25">
      <c r="A10" s="7"/>
      <c r="B10" s="91" t="s">
        <v>73</v>
      </c>
      <c r="D10" s="7"/>
      <c r="E10" s="371">
        <f>'Equipment sizing'!E7</f>
        <v>23.844111221726717</v>
      </c>
      <c r="F10" s="371">
        <f>'Equipment sizing'!F7</f>
        <v>13.411624918638752</v>
      </c>
      <c r="G10" s="371">
        <f>'Equipment sizing'!G7</f>
        <v>7.7571163926521631</v>
      </c>
      <c r="H10" s="371">
        <f>'Equipment sizing'!H7</f>
        <v>1.2632510854372485</v>
      </c>
    </row>
    <row r="11" spans="1:9" x14ac:dyDescent="0.25">
      <c r="A11" s="7"/>
      <c r="B11" s="91" t="s">
        <v>125</v>
      </c>
      <c r="D11" s="7"/>
      <c r="E11" s="311" t="s">
        <v>373</v>
      </c>
      <c r="F11" s="311" t="s">
        <v>127</v>
      </c>
      <c r="G11" s="311" t="s">
        <v>127</v>
      </c>
      <c r="H11" s="311" t="s">
        <v>127</v>
      </c>
    </row>
    <row r="12" spans="1:9" x14ac:dyDescent="0.25">
      <c r="A12" s="7"/>
      <c r="B12" s="149"/>
      <c r="C12" s="22"/>
      <c r="D12" s="29"/>
      <c r="E12" s="133"/>
      <c r="F12" s="133"/>
      <c r="G12" s="133"/>
      <c r="H12" s="133"/>
    </row>
    <row r="13" spans="1:9" x14ac:dyDescent="0.25">
      <c r="A13" s="7"/>
      <c r="B13" s="91" t="s">
        <v>126</v>
      </c>
      <c r="D13" s="7"/>
      <c r="E13" s="313">
        <v>0.72</v>
      </c>
      <c r="F13" s="315">
        <v>0.65</v>
      </c>
      <c r="G13" s="313">
        <v>0.65</v>
      </c>
      <c r="H13" s="313">
        <v>0.65</v>
      </c>
    </row>
    <row r="14" spans="1:9" x14ac:dyDescent="0.25">
      <c r="A14" s="7"/>
      <c r="B14" s="91" t="s">
        <v>128</v>
      </c>
      <c r="D14" s="7"/>
      <c r="E14" s="358">
        <v>10</v>
      </c>
      <c r="F14" s="316">
        <v>10</v>
      </c>
      <c r="G14" s="358">
        <v>5</v>
      </c>
      <c r="H14" s="358">
        <v>1</v>
      </c>
    </row>
    <row r="15" spans="1:9" x14ac:dyDescent="0.25">
      <c r="A15" s="7"/>
      <c r="B15" s="91" t="s">
        <v>345</v>
      </c>
      <c r="E15" s="358">
        <v>2</v>
      </c>
      <c r="F15" s="316">
        <v>2</v>
      </c>
      <c r="G15" s="358">
        <v>1</v>
      </c>
      <c r="H15" s="358">
        <v>0.5</v>
      </c>
    </row>
    <row r="16" spans="1:9" x14ac:dyDescent="0.25">
      <c r="A16" s="7"/>
      <c r="B16" s="91" t="s">
        <v>346</v>
      </c>
      <c r="E16" s="358">
        <v>50</v>
      </c>
      <c r="F16" s="316">
        <v>60</v>
      </c>
      <c r="G16" s="358">
        <v>50</v>
      </c>
      <c r="H16" s="358">
        <v>50</v>
      </c>
    </row>
    <row r="17" spans="1:8" x14ac:dyDescent="0.25">
      <c r="A17" s="7"/>
      <c r="B17" s="91" t="s">
        <v>347</v>
      </c>
      <c r="E17" s="311" t="b">
        <f>AND(E10&gt;E15,E10&lt;E16)</f>
        <v>1</v>
      </c>
      <c r="F17" s="311" t="b">
        <f>AND(F10&gt;F15,F10&lt;F16)</f>
        <v>1</v>
      </c>
      <c r="G17" s="311" t="b">
        <f>AND(G10&gt;G15,G10&lt;G16)</f>
        <v>1</v>
      </c>
      <c r="H17" s="311" t="b">
        <f>AND(H10&gt;H15,H10&lt;H16)</f>
        <v>1</v>
      </c>
    </row>
    <row r="18" spans="1:8" x14ac:dyDescent="0.25">
      <c r="A18" s="7"/>
      <c r="B18" s="91" t="s">
        <v>129</v>
      </c>
      <c r="D18" s="7"/>
      <c r="E18" s="314">
        <v>125000</v>
      </c>
      <c r="F18" s="317">
        <v>46000</v>
      </c>
      <c r="G18" s="314">
        <v>15200</v>
      </c>
      <c r="H18" s="314">
        <v>22000</v>
      </c>
    </row>
    <row r="19" spans="1:8" x14ac:dyDescent="0.25">
      <c r="A19" s="7"/>
      <c r="B19" s="91" t="s">
        <v>363</v>
      </c>
      <c r="D19" s="7"/>
      <c r="E19" s="368" t="s">
        <v>364</v>
      </c>
      <c r="F19" s="369" t="s">
        <v>365</v>
      </c>
      <c r="G19" s="369" t="s">
        <v>365</v>
      </c>
      <c r="H19" s="369" t="s">
        <v>365</v>
      </c>
    </row>
    <row r="20" spans="1:8" x14ac:dyDescent="0.25">
      <c r="A20" s="7"/>
      <c r="B20" s="91" t="s">
        <v>130</v>
      </c>
      <c r="D20" s="7"/>
      <c r="E20" s="153">
        <f>E18*(E10/E14)^E13</f>
        <v>233681.55452835947</v>
      </c>
      <c r="F20" s="312">
        <f>F18*(F10/F14)^F13</f>
        <v>55669.938441238599</v>
      </c>
      <c r="G20" s="153">
        <f>G18*(G10/G14)^G13</f>
        <v>20221.728969655327</v>
      </c>
      <c r="H20" s="153">
        <f>H18*(H10/H14)^H13</f>
        <v>25608.902866189372</v>
      </c>
    </row>
    <row r="21" spans="1:8" x14ac:dyDescent="0.25">
      <c r="A21" s="7"/>
      <c r="B21" s="22"/>
      <c r="C21" s="22"/>
      <c r="D21" s="29"/>
      <c r="E21" s="133"/>
      <c r="F21" s="133"/>
      <c r="G21" s="133"/>
      <c r="H21" s="133"/>
    </row>
    <row r="22" spans="1:8" x14ac:dyDescent="0.25">
      <c r="A22" s="7"/>
      <c r="B22" s="91" t="s">
        <v>135</v>
      </c>
      <c r="D22" s="7"/>
      <c r="E22" s="319">
        <v>2010</v>
      </c>
      <c r="F22" s="318">
        <v>2010</v>
      </c>
      <c r="G22" s="319">
        <v>2010</v>
      </c>
      <c r="H22" s="319">
        <v>2010</v>
      </c>
    </row>
    <row r="23" spans="1:8" x14ac:dyDescent="0.25">
      <c r="A23" s="7"/>
      <c r="B23" s="91" t="s">
        <v>132</v>
      </c>
      <c r="D23" s="7"/>
      <c r="E23" s="319">
        <v>2015</v>
      </c>
      <c r="F23" s="318">
        <v>2015</v>
      </c>
      <c r="G23" s="319">
        <v>2015</v>
      </c>
      <c r="H23" s="319">
        <v>2015</v>
      </c>
    </row>
    <row r="24" spans="1:8" x14ac:dyDescent="0.25">
      <c r="A24" s="7"/>
      <c r="B24" s="95" t="s">
        <v>133</v>
      </c>
      <c r="C24" s="11"/>
      <c r="D24" s="7"/>
      <c r="E24" s="319">
        <v>468.2</v>
      </c>
      <c r="F24" s="318">
        <v>468.2</v>
      </c>
      <c r="G24" s="319">
        <v>468.2</v>
      </c>
      <c r="H24" s="319">
        <v>468.2</v>
      </c>
    </row>
    <row r="25" spans="1:8" x14ac:dyDescent="0.25">
      <c r="A25" s="7"/>
      <c r="B25" s="91" t="s">
        <v>134</v>
      </c>
      <c r="D25" s="7"/>
      <c r="E25" s="319">
        <v>556.79999999999995</v>
      </c>
      <c r="F25" s="318">
        <v>556.79999999999995</v>
      </c>
      <c r="G25" s="319">
        <v>556.79999999999995</v>
      </c>
      <c r="H25" s="319">
        <v>556.79999999999995</v>
      </c>
    </row>
    <row r="26" spans="1:8" x14ac:dyDescent="0.25">
      <c r="A26" s="7"/>
      <c r="B26" s="150" t="s">
        <v>131</v>
      </c>
      <c r="D26" s="7"/>
      <c r="E26" s="153">
        <f>E20*(E25/E24)</f>
        <v>277902.36984491791</v>
      </c>
      <c r="F26" s="312">
        <f>F20*(F25/F24)</f>
        <v>66204.659812220532</v>
      </c>
      <c r="G26" s="312">
        <f>G20*(G25/G24)</f>
        <v>24048.395323161225</v>
      </c>
      <c r="H26" s="153">
        <f>H20*(H25/H24)</f>
        <v>30455.013062567796</v>
      </c>
    </row>
    <row r="27" spans="1:8" x14ac:dyDescent="0.25">
      <c r="A27" s="7"/>
      <c r="B27" s="155"/>
      <c r="C27" s="135"/>
      <c r="D27" s="136"/>
      <c r="E27" s="137"/>
      <c r="F27" s="136"/>
      <c r="G27" s="137"/>
      <c r="H27" s="137"/>
    </row>
    <row r="28" spans="1:8" x14ac:dyDescent="0.25">
      <c r="A28" s="11"/>
      <c r="B28" s="372" t="s">
        <v>374</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5" tint="-0.249977111117893"/>
  </sheetPr>
  <dimension ref="A1:R51"/>
  <sheetViews>
    <sheetView showGridLines="0" zoomScale="85" zoomScaleNormal="85" workbookViewId="0">
      <selection activeCell="A30" sqref="A30"/>
    </sheetView>
  </sheetViews>
  <sheetFormatPr defaultColWidth="14.28515625" defaultRowHeight="15" x14ac:dyDescent="0.25"/>
  <cols>
    <col min="1" max="1" width="2.85546875" customWidth="1"/>
    <col min="2" max="3" width="20" customWidth="1"/>
    <col min="4" max="4" width="17.140625" customWidth="1"/>
    <col min="5" max="5" width="19.85546875" customWidth="1"/>
    <col min="6" max="7" width="20" customWidth="1"/>
    <col min="8" max="9" width="17.140625" customWidth="1"/>
    <col min="10" max="15" width="20" customWidth="1"/>
    <col min="16" max="19" width="17.140625" customWidth="1"/>
  </cols>
  <sheetData>
    <row r="1" spans="1:18" s="159" customFormat="1" ht="26.25" x14ac:dyDescent="0.4">
      <c r="A1" s="158" t="s">
        <v>247</v>
      </c>
      <c r="I1" s="160"/>
      <c r="N1" s="161"/>
      <c r="Q1" s="162"/>
      <c r="R1" s="163"/>
    </row>
    <row r="2" spans="1:18" ht="15.75" x14ac:dyDescent="0.25">
      <c r="B2" s="164" t="s">
        <v>272</v>
      </c>
    </row>
    <row r="5" spans="1:18" ht="23.25" x14ac:dyDescent="0.35">
      <c r="B5" s="88" t="s">
        <v>154</v>
      </c>
      <c r="C5" s="88"/>
      <c r="D5" s="90" t="s">
        <v>141</v>
      </c>
      <c r="F5" s="88" t="s">
        <v>153</v>
      </c>
      <c r="G5" s="180"/>
      <c r="H5" s="90" t="s">
        <v>141</v>
      </c>
    </row>
    <row r="6" spans="1:18" x14ac:dyDescent="0.25">
      <c r="B6" s="91" t="s">
        <v>143</v>
      </c>
      <c r="D6" s="166">
        <f>F32</f>
        <v>1179886.8966068877</v>
      </c>
      <c r="F6" s="91" t="s">
        <v>154</v>
      </c>
      <c r="G6" s="182"/>
      <c r="H6" s="167">
        <f>Fixed_Capital</f>
        <v>2135595.2828584667</v>
      </c>
    </row>
    <row r="7" spans="1:18" x14ac:dyDescent="0.25">
      <c r="B7" s="168" t="s">
        <v>144</v>
      </c>
      <c r="C7" s="135"/>
      <c r="D7" s="169">
        <f>F41</f>
        <v>955708.38625157904</v>
      </c>
      <c r="F7" s="168" t="s">
        <v>136</v>
      </c>
      <c r="G7" s="183"/>
      <c r="H7" s="170">
        <f>F47</f>
        <v>320339.29242876999</v>
      </c>
    </row>
    <row r="8" spans="1:18" ht="23.25" x14ac:dyDescent="0.35">
      <c r="B8" s="171" t="s">
        <v>137</v>
      </c>
      <c r="C8" s="171"/>
      <c r="D8" s="172">
        <f>SUM(D6:D7)</f>
        <v>2135595.2828584667</v>
      </c>
      <c r="F8" s="171" t="s">
        <v>137</v>
      </c>
      <c r="G8" s="171"/>
      <c r="H8" s="172">
        <f>SUM(H6:H7)</f>
        <v>2455934.5752872368</v>
      </c>
    </row>
    <row r="10" spans="1:18" x14ac:dyDescent="0.25">
      <c r="B10" s="11"/>
      <c r="C10" s="11"/>
      <c r="D10" s="11"/>
      <c r="E10" s="11"/>
      <c r="F10" s="11"/>
      <c r="G10" s="11"/>
      <c r="H10" s="11"/>
      <c r="I10" s="11"/>
      <c r="J10" s="11"/>
    </row>
    <row r="11" spans="1:18" x14ac:dyDescent="0.25">
      <c r="B11" s="11"/>
      <c r="C11" s="11"/>
      <c r="D11" s="11"/>
      <c r="E11" s="11"/>
      <c r="F11" s="11"/>
      <c r="G11" s="11"/>
      <c r="H11" s="11"/>
      <c r="I11" s="11"/>
      <c r="J11" s="11"/>
    </row>
    <row r="12" spans="1:18" x14ac:dyDescent="0.25">
      <c r="B12" s="11"/>
      <c r="C12" s="11"/>
      <c r="D12" s="11"/>
      <c r="E12" s="11"/>
      <c r="F12" s="11"/>
      <c r="G12" s="11"/>
      <c r="H12" s="11"/>
      <c r="I12" s="11"/>
      <c r="J12" s="11"/>
    </row>
    <row r="13" spans="1:18" x14ac:dyDescent="0.25">
      <c r="B13" s="11"/>
      <c r="C13" s="11"/>
      <c r="D13" s="11"/>
      <c r="E13" s="11"/>
      <c r="F13" s="11"/>
      <c r="G13" s="11"/>
      <c r="H13" s="11"/>
      <c r="I13" s="11"/>
      <c r="J13" s="11"/>
    </row>
    <row r="14" spans="1:18" x14ac:dyDescent="0.25">
      <c r="B14" s="11"/>
      <c r="C14" s="11"/>
      <c r="D14" s="11"/>
    </row>
    <row r="15" spans="1:18" x14ac:dyDescent="0.25">
      <c r="B15" s="11"/>
      <c r="C15" s="11"/>
      <c r="D15" s="11"/>
      <c r="E15" s="11"/>
    </row>
    <row r="16" spans="1:18" x14ac:dyDescent="0.25">
      <c r="B16" s="11"/>
      <c r="C16" s="11"/>
      <c r="D16" s="11"/>
      <c r="E16" s="11"/>
      <c r="F16" s="11"/>
      <c r="G16" s="11"/>
      <c r="I16" s="11"/>
      <c r="K16" s="11"/>
      <c r="L16" s="11"/>
    </row>
    <row r="17" spans="1:12" x14ac:dyDescent="0.25">
      <c r="B17" s="11"/>
      <c r="C17" s="11"/>
      <c r="D17" s="11"/>
      <c r="E17" s="11"/>
      <c r="F17" s="11"/>
      <c r="G17" s="11"/>
      <c r="I17" s="11"/>
      <c r="K17" s="11"/>
      <c r="L17" s="11"/>
    </row>
    <row r="18" spans="1:12" x14ac:dyDescent="0.25">
      <c r="B18" s="11"/>
      <c r="C18" s="11"/>
      <c r="D18" s="11"/>
      <c r="E18" s="11"/>
      <c r="F18" s="11"/>
      <c r="G18" s="11"/>
      <c r="I18" s="11"/>
      <c r="K18" s="11"/>
      <c r="L18" s="11"/>
    </row>
    <row r="20" spans="1:12" s="122" customFormat="1" ht="21" x14ac:dyDescent="0.35">
      <c r="A20" s="173" t="s">
        <v>166</v>
      </c>
    </row>
    <row r="23" spans="1:12" ht="23.25" x14ac:dyDescent="0.35">
      <c r="B23" s="88" t="s">
        <v>143</v>
      </c>
      <c r="C23" s="88"/>
      <c r="D23" s="180" t="s">
        <v>169</v>
      </c>
      <c r="E23" s="165"/>
      <c r="F23" s="90" t="s">
        <v>141</v>
      </c>
    </row>
    <row r="24" spans="1:12" x14ac:dyDescent="0.25">
      <c r="B24" s="91" t="s">
        <v>138</v>
      </c>
      <c r="C24" s="186"/>
      <c r="D24" s="182" t="s">
        <v>0</v>
      </c>
      <c r="E24" s="189" t="s">
        <v>0</v>
      </c>
      <c r="F24" s="166">
        <f>Equipment_Purchase_Cost</f>
        <v>398610.43804286746</v>
      </c>
    </row>
    <row r="25" spans="1:12" x14ac:dyDescent="0.25">
      <c r="B25" s="91" t="s">
        <v>139</v>
      </c>
      <c r="C25" s="186"/>
      <c r="D25" s="320">
        <v>0.39</v>
      </c>
      <c r="E25" s="189" t="s">
        <v>156</v>
      </c>
      <c r="F25" s="166">
        <f t="shared" ref="F25:F31" si="0">$F$24*D25</f>
        <v>155458.07083671831</v>
      </c>
    </row>
    <row r="26" spans="1:12" x14ac:dyDescent="0.25">
      <c r="B26" s="91" t="s">
        <v>145</v>
      </c>
      <c r="C26" s="186"/>
      <c r="D26" s="320">
        <v>0.26</v>
      </c>
      <c r="E26" s="189" t="s">
        <v>157</v>
      </c>
      <c r="F26" s="166">
        <f t="shared" si="0"/>
        <v>103638.71389114554</v>
      </c>
    </row>
    <row r="27" spans="1:12" x14ac:dyDescent="0.25">
      <c r="B27" s="91" t="s">
        <v>146</v>
      </c>
      <c r="C27" s="186"/>
      <c r="D27" s="320">
        <v>0.31</v>
      </c>
      <c r="E27" s="189" t="s">
        <v>158</v>
      </c>
      <c r="F27" s="166">
        <f t="shared" si="0"/>
        <v>123569.23579328891</v>
      </c>
    </row>
    <row r="28" spans="1:12" x14ac:dyDescent="0.25">
      <c r="B28" s="91" t="s">
        <v>274</v>
      </c>
      <c r="C28" s="186"/>
      <c r="D28" s="320">
        <v>0.1</v>
      </c>
      <c r="E28" s="189" t="s">
        <v>159</v>
      </c>
      <c r="F28" s="166">
        <f t="shared" si="0"/>
        <v>39861.043804286746</v>
      </c>
    </row>
    <row r="29" spans="1:12" x14ac:dyDescent="0.25">
      <c r="B29" s="91" t="s">
        <v>275</v>
      </c>
      <c r="C29" s="186"/>
      <c r="D29" s="320">
        <v>0.28999999999999998</v>
      </c>
      <c r="E29" s="189" t="s">
        <v>160</v>
      </c>
      <c r="F29" s="166">
        <f t="shared" si="0"/>
        <v>115597.02703243155</v>
      </c>
    </row>
    <row r="30" spans="1:12" x14ac:dyDescent="0.25">
      <c r="B30" s="91" t="s">
        <v>155</v>
      </c>
      <c r="C30" s="186"/>
      <c r="D30" s="320">
        <v>0.55000000000000004</v>
      </c>
      <c r="E30" s="189" t="s">
        <v>161</v>
      </c>
      <c r="F30" s="166">
        <f t="shared" si="0"/>
        <v>219235.74092357713</v>
      </c>
    </row>
    <row r="31" spans="1:12" x14ac:dyDescent="0.25">
      <c r="B31" s="168" t="s">
        <v>147</v>
      </c>
      <c r="C31" s="187"/>
      <c r="D31" s="320">
        <v>0.06</v>
      </c>
      <c r="E31" s="190" t="s">
        <v>162</v>
      </c>
      <c r="F31" s="169">
        <f t="shared" si="0"/>
        <v>23916.626282572048</v>
      </c>
    </row>
    <row r="32" spans="1:12" x14ac:dyDescent="0.25">
      <c r="B32" s="174" t="s">
        <v>149</v>
      </c>
      <c r="C32" s="188"/>
      <c r="D32" s="192"/>
      <c r="E32" s="191"/>
      <c r="F32" s="177">
        <f>SUM(F24:F31)</f>
        <v>1179886.8966068877</v>
      </c>
    </row>
    <row r="36" spans="2:11" ht="23.25" x14ac:dyDescent="0.35">
      <c r="B36" s="88" t="s">
        <v>144</v>
      </c>
      <c r="C36" s="88"/>
      <c r="D36" s="180" t="s">
        <v>151</v>
      </c>
      <c r="E36" s="90"/>
      <c r="F36" s="90" t="s">
        <v>141</v>
      </c>
    </row>
    <row r="37" spans="2:11" x14ac:dyDescent="0.25">
      <c r="B37" s="91" t="s">
        <v>142</v>
      </c>
      <c r="C37" s="186"/>
      <c r="D37" s="320">
        <v>0.33</v>
      </c>
      <c r="E37" s="189" t="s">
        <v>223</v>
      </c>
      <c r="F37" s="181">
        <f>D37*$F$32</f>
        <v>389362.67588027293</v>
      </c>
    </row>
    <row r="38" spans="2:11" x14ac:dyDescent="0.25">
      <c r="B38" s="95" t="s">
        <v>148</v>
      </c>
      <c r="C38" s="186"/>
      <c r="D38" s="320">
        <v>0.03</v>
      </c>
      <c r="E38" s="189" t="s">
        <v>163</v>
      </c>
      <c r="F38" s="181">
        <f>D38*$F$32</f>
        <v>35396.606898206628</v>
      </c>
    </row>
    <row r="39" spans="2:11" x14ac:dyDescent="0.25">
      <c r="B39" s="95" t="s">
        <v>152</v>
      </c>
      <c r="C39" s="186"/>
      <c r="D39" s="320">
        <v>0.2</v>
      </c>
      <c r="E39" s="189" t="s">
        <v>164</v>
      </c>
      <c r="F39" s="181">
        <f>D39*$F$32</f>
        <v>235977.37932137755</v>
      </c>
    </row>
    <row r="40" spans="2:11" x14ac:dyDescent="0.25">
      <c r="B40" s="168" t="s">
        <v>140</v>
      </c>
      <c r="C40" s="187"/>
      <c r="D40" s="320">
        <v>0.25</v>
      </c>
      <c r="E40" s="190" t="s">
        <v>165</v>
      </c>
      <c r="F40" s="169">
        <f>D40*$F$32</f>
        <v>294971.72415172192</v>
      </c>
    </row>
    <row r="41" spans="2:11" x14ac:dyDescent="0.25">
      <c r="B41" s="174" t="s">
        <v>150</v>
      </c>
      <c r="C41" s="175"/>
      <c r="E41" s="176"/>
      <c r="F41" s="177">
        <f>SUM(F37:F40)</f>
        <v>955708.38625157904</v>
      </c>
    </row>
    <row r="45" spans="2:11" ht="23.25" x14ac:dyDescent="0.35">
      <c r="B45" s="88" t="s">
        <v>153</v>
      </c>
      <c r="C45" s="88"/>
      <c r="D45" s="180" t="s">
        <v>168</v>
      </c>
      <c r="E45" s="90"/>
      <c r="F45" s="90" t="s">
        <v>141</v>
      </c>
    </row>
    <row r="46" spans="2:11" x14ac:dyDescent="0.25">
      <c r="B46" s="91" t="s">
        <v>154</v>
      </c>
      <c r="C46" s="193"/>
      <c r="D46" s="182" t="s">
        <v>0</v>
      </c>
      <c r="E46" s="195" t="s">
        <v>0</v>
      </c>
      <c r="F46" s="167">
        <f>F41+F32</f>
        <v>2135595.2828584667</v>
      </c>
      <c r="I46" s="74"/>
      <c r="J46" s="74"/>
      <c r="K46" s="184"/>
    </row>
    <row r="47" spans="2:11" x14ac:dyDescent="0.25">
      <c r="B47" s="168" t="s">
        <v>136</v>
      </c>
      <c r="C47" s="194"/>
      <c r="D47" s="320">
        <v>0.15</v>
      </c>
      <c r="E47" s="190" t="s">
        <v>167</v>
      </c>
      <c r="F47" s="170">
        <f>F46*D47</f>
        <v>320339.29242876999</v>
      </c>
      <c r="I47" s="74"/>
      <c r="J47" s="74"/>
      <c r="K47" s="184"/>
    </row>
    <row r="48" spans="2:11" x14ac:dyDescent="0.25">
      <c r="B48" s="174" t="s">
        <v>153</v>
      </c>
      <c r="C48" s="175"/>
      <c r="E48" s="176"/>
      <c r="F48" s="177">
        <f>F46+F47</f>
        <v>2455934.5752872368</v>
      </c>
    </row>
    <row r="51" spans="7:7" x14ac:dyDescent="0.25">
      <c r="G51" s="11"/>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5" tint="-0.249977111117893"/>
  </sheetPr>
  <dimension ref="A1:T95"/>
  <sheetViews>
    <sheetView showGridLines="0" zoomScale="85" zoomScaleNormal="85" workbookViewId="0">
      <selection activeCell="A30" sqref="A30"/>
    </sheetView>
  </sheetViews>
  <sheetFormatPr defaultColWidth="11.42578125" defaultRowHeight="15" x14ac:dyDescent="0.25"/>
  <cols>
    <col min="1" max="1" width="2.85546875" customWidth="1"/>
    <col min="2" max="7" width="14.28515625" customWidth="1"/>
    <col min="8" max="11" width="11.42578125" customWidth="1"/>
    <col min="12" max="13" width="17" customWidth="1"/>
    <col min="14" max="16" width="11.42578125" customWidth="1"/>
    <col min="18" max="18" width="18.5703125" customWidth="1"/>
    <col min="19" max="19" width="14.5703125" bestFit="1" customWidth="1"/>
  </cols>
  <sheetData>
    <row r="1" spans="1:20" s="159" customFormat="1" ht="26.25" x14ac:dyDescent="0.4">
      <c r="A1" s="158" t="s">
        <v>170</v>
      </c>
      <c r="I1" s="160"/>
      <c r="N1" s="161"/>
      <c r="Q1" s="162"/>
      <c r="S1" s="163"/>
    </row>
    <row r="2" spans="1:20" ht="15.75" x14ac:dyDescent="0.25">
      <c r="B2" s="164" t="s">
        <v>171</v>
      </c>
    </row>
    <row r="4" spans="1:20" x14ac:dyDescent="0.25">
      <c r="E4" s="11"/>
      <c r="T4" s="11"/>
    </row>
    <row r="5" spans="1:20" ht="23.25" x14ac:dyDescent="0.35">
      <c r="B5" s="9" t="s">
        <v>192</v>
      </c>
      <c r="C5" s="88"/>
      <c r="D5" s="90" t="s">
        <v>218</v>
      </c>
      <c r="E5" s="88"/>
      <c r="F5" s="90"/>
      <c r="G5" s="90" t="s">
        <v>190</v>
      </c>
      <c r="I5" s="224" t="s">
        <v>294</v>
      </c>
      <c r="J5" s="223"/>
      <c r="K5" s="223"/>
      <c r="L5" s="333" t="s">
        <v>190</v>
      </c>
      <c r="M5" s="334" t="s">
        <v>318</v>
      </c>
      <c r="N5" s="11"/>
      <c r="T5" s="11"/>
    </row>
    <row r="6" spans="1:20" ht="18.75" x14ac:dyDescent="0.3">
      <c r="B6" s="95" t="s">
        <v>193</v>
      </c>
      <c r="D6" s="179" t="s">
        <v>0</v>
      </c>
      <c r="E6" s="11"/>
      <c r="G6" s="217">
        <f>F56</f>
        <v>564531.44508034061</v>
      </c>
      <c r="I6" s="335" t="s">
        <v>177</v>
      </c>
      <c r="J6" s="221"/>
      <c r="K6" s="221"/>
      <c r="L6" s="222">
        <f>F47</f>
        <v>3500000</v>
      </c>
      <c r="M6" s="330">
        <f>L6/Production_Rate/10^3</f>
        <v>7</v>
      </c>
      <c r="T6" s="11"/>
    </row>
    <row r="7" spans="1:20" ht="18.75" x14ac:dyDescent="0.3">
      <c r="B7" s="95" t="s">
        <v>194</v>
      </c>
      <c r="D7" s="179" t="s">
        <v>0</v>
      </c>
      <c r="E7" s="11"/>
      <c r="G7" s="217">
        <f>N65</f>
        <v>0</v>
      </c>
      <c r="I7" s="336" t="s">
        <v>366</v>
      </c>
      <c r="L7" s="329">
        <f>SUM(G6:G13,G19,G20,G24)/(1-SUM(D14,D25,D26))</f>
        <v>2004696.4430950156</v>
      </c>
      <c r="M7" s="330">
        <f>L7/Production_Rate/10^3</f>
        <v>4.0093928861900316</v>
      </c>
      <c r="T7" s="11"/>
    </row>
    <row r="8" spans="1:20" ht="18.75" x14ac:dyDescent="0.3">
      <c r="B8" s="95" t="s">
        <v>195</v>
      </c>
      <c r="D8" s="179" t="s">
        <v>0</v>
      </c>
      <c r="E8" s="11"/>
      <c r="G8" s="217">
        <f>N47</f>
        <v>13247.966552596286</v>
      </c>
      <c r="I8" s="337" t="s">
        <v>367</v>
      </c>
      <c r="J8" s="224"/>
      <c r="K8" s="224"/>
      <c r="L8" s="225">
        <f>OpEx_with_depr-G18</f>
        <v>1791136.9148091688</v>
      </c>
      <c r="M8" s="332">
        <f>L8/Production_Rate/10^3</f>
        <v>3.5822738296183374</v>
      </c>
      <c r="T8" s="11"/>
    </row>
    <row r="9" spans="1:20" x14ac:dyDescent="0.25">
      <c r="B9" s="95" t="s">
        <v>196</v>
      </c>
      <c r="D9" s="179" t="s">
        <v>0</v>
      </c>
      <c r="E9" s="11"/>
      <c r="G9" s="217">
        <f>N56</f>
        <v>432000</v>
      </c>
      <c r="M9" s="167"/>
      <c r="T9" s="11"/>
    </row>
    <row r="10" spans="1:20" ht="18.75" x14ac:dyDescent="0.3">
      <c r="B10" s="95" t="s">
        <v>212</v>
      </c>
      <c r="D10" s="301">
        <v>0.18</v>
      </c>
      <c r="E10" t="s">
        <v>219</v>
      </c>
      <c r="G10" s="217">
        <f>D10*G9</f>
        <v>77760</v>
      </c>
      <c r="I10" s="331"/>
      <c r="T10" s="11"/>
    </row>
    <row r="11" spans="1:20" ht="18.75" x14ac:dyDescent="0.3">
      <c r="B11" s="95" t="s">
        <v>197</v>
      </c>
      <c r="D11" s="301">
        <v>0.06</v>
      </c>
      <c r="E11" t="s">
        <v>220</v>
      </c>
      <c r="G11" s="217">
        <f>D11*Fixed_Capital</f>
        <v>128135.71697150799</v>
      </c>
      <c r="I11" s="331"/>
      <c r="T11" s="11"/>
    </row>
    <row r="12" spans="1:20" x14ac:dyDescent="0.25">
      <c r="B12" s="95" t="s">
        <v>198</v>
      </c>
      <c r="D12" s="301">
        <v>0.01</v>
      </c>
      <c r="E12" t="s">
        <v>220</v>
      </c>
      <c r="G12" s="217">
        <f>D12*Fixed_Capital</f>
        <v>21355.952828584668</v>
      </c>
      <c r="T12" s="11"/>
    </row>
    <row r="13" spans="1:20" x14ac:dyDescent="0.25">
      <c r="B13" s="95" t="s">
        <v>199</v>
      </c>
      <c r="D13" s="301">
        <v>0.15</v>
      </c>
      <c r="E13" t="s">
        <v>219</v>
      </c>
      <c r="G13" s="217">
        <f>D13*G9</f>
        <v>64800</v>
      </c>
      <c r="J13" s="228" t="s">
        <v>217</v>
      </c>
      <c r="K13" s="228"/>
      <c r="L13" s="228"/>
      <c r="T13" s="11"/>
    </row>
    <row r="14" spans="1:20" x14ac:dyDescent="0.25">
      <c r="B14" s="168" t="s">
        <v>208</v>
      </c>
      <c r="C14" s="135"/>
      <c r="D14" s="321">
        <v>0.03</v>
      </c>
      <c r="E14" s="135" t="s">
        <v>221</v>
      </c>
      <c r="F14" s="135"/>
      <c r="G14" s="170">
        <f>L7*D14</f>
        <v>60140.893292850466</v>
      </c>
      <c r="J14" s="226" t="s">
        <v>173</v>
      </c>
      <c r="K14" s="226"/>
      <c r="L14" s="227">
        <f>G6</f>
        <v>564531.44508034061</v>
      </c>
      <c r="T14" s="11"/>
    </row>
    <row r="15" spans="1:20" x14ac:dyDescent="0.25">
      <c r="B15" s="229" t="s">
        <v>200</v>
      </c>
      <c r="C15" s="175"/>
      <c r="D15" s="175"/>
      <c r="E15" s="175"/>
      <c r="F15" s="175"/>
      <c r="G15" s="220">
        <f>SUM(G6:G14)</f>
        <v>1361971.9747258802</v>
      </c>
      <c r="J15" s="226" t="s">
        <v>176</v>
      </c>
      <c r="K15" s="226"/>
      <c r="L15" s="227">
        <f>G7</f>
        <v>0</v>
      </c>
      <c r="T15" s="11"/>
    </row>
    <row r="16" spans="1:20" x14ac:dyDescent="0.25">
      <c r="J16" s="226" t="s">
        <v>174</v>
      </c>
      <c r="K16" s="226"/>
      <c r="L16" s="227">
        <f>G8</f>
        <v>13247.966552596286</v>
      </c>
    </row>
    <row r="17" spans="2:20" ht="23.25" x14ac:dyDescent="0.35">
      <c r="B17" s="9" t="s">
        <v>201</v>
      </c>
      <c r="C17" s="88"/>
      <c r="D17" s="90" t="s">
        <v>218</v>
      </c>
      <c r="E17" s="90"/>
      <c r="F17" s="90"/>
      <c r="G17" s="90" t="s">
        <v>190</v>
      </c>
      <c r="J17" s="226" t="s">
        <v>214</v>
      </c>
      <c r="K17" s="226"/>
      <c r="L17" s="227">
        <f>G9</f>
        <v>432000</v>
      </c>
      <c r="T17" s="181"/>
    </row>
    <row r="18" spans="2:20" x14ac:dyDescent="0.25">
      <c r="B18" s="150" t="s">
        <v>202</v>
      </c>
      <c r="C18" s="370"/>
      <c r="D18" s="301">
        <v>0.1</v>
      </c>
      <c r="E18" t="s">
        <v>220</v>
      </c>
      <c r="G18" s="217">
        <f>D18*Fixed_Capital</f>
        <v>213559.5282858467</v>
      </c>
      <c r="J18" s="226" t="s">
        <v>215</v>
      </c>
      <c r="K18" s="226"/>
      <c r="L18" s="227">
        <f>G15-SUM(L14:L17)</f>
        <v>352192.56309294328</v>
      </c>
    </row>
    <row r="19" spans="2:20" x14ac:dyDescent="0.25">
      <c r="B19" s="95" t="s">
        <v>203</v>
      </c>
      <c r="D19" s="301">
        <v>0.03</v>
      </c>
      <c r="E19" t="s">
        <v>220</v>
      </c>
      <c r="G19" s="217">
        <f>D19*Fixed_Capital</f>
        <v>64067.858485753997</v>
      </c>
      <c r="J19" s="226" t="s">
        <v>240</v>
      </c>
      <c r="L19" s="227">
        <f>G18</f>
        <v>213559.5282858467</v>
      </c>
      <c r="T19" s="11"/>
    </row>
    <row r="20" spans="2:20" x14ac:dyDescent="0.25">
      <c r="B20" s="219" t="s">
        <v>211</v>
      </c>
      <c r="C20" s="135"/>
      <c r="D20" s="321">
        <v>0.6</v>
      </c>
      <c r="E20" s="135" t="s">
        <v>222</v>
      </c>
      <c r="F20" s="135"/>
      <c r="G20" s="170">
        <f>D20*SUM(G9:G11)</f>
        <v>382737.43018290476</v>
      </c>
      <c r="J20" s="226" t="s">
        <v>319</v>
      </c>
      <c r="K20" s="226"/>
      <c r="L20" s="227">
        <f>G21</f>
        <v>660364.8169545054</v>
      </c>
      <c r="T20" s="11"/>
    </row>
    <row r="21" spans="2:20" x14ac:dyDescent="0.25">
      <c r="B21" s="229" t="s">
        <v>204</v>
      </c>
      <c r="C21" s="175"/>
      <c r="D21" s="175"/>
      <c r="E21" s="175"/>
      <c r="F21" s="175"/>
      <c r="G21" s="220">
        <f>SUM(G18:G20)</f>
        <v>660364.8169545054</v>
      </c>
      <c r="J21" s="226" t="s">
        <v>216</v>
      </c>
      <c r="K21" s="226"/>
      <c r="L21" s="227">
        <f>G27</f>
        <v>195919.17970047699</v>
      </c>
      <c r="T21" s="11"/>
    </row>
    <row r="22" spans="2:20" x14ac:dyDescent="0.25">
      <c r="B22" s="11"/>
      <c r="G22" s="217"/>
      <c r="T22" s="11"/>
    </row>
    <row r="23" spans="2:20" ht="23.25" x14ac:dyDescent="0.35">
      <c r="B23" s="9" t="s">
        <v>205</v>
      </c>
      <c r="C23" s="88"/>
      <c r="D23" s="90" t="s">
        <v>218</v>
      </c>
      <c r="E23" s="90"/>
      <c r="F23" s="90"/>
      <c r="G23" s="90" t="s">
        <v>190</v>
      </c>
      <c r="T23" s="11"/>
    </row>
    <row r="24" spans="2:20" x14ac:dyDescent="0.25">
      <c r="B24" s="95" t="s">
        <v>210</v>
      </c>
      <c r="D24" s="301">
        <v>0.15</v>
      </c>
      <c r="E24" t="s">
        <v>222</v>
      </c>
      <c r="G24" s="217">
        <f>D24*SUM(G9:G11)</f>
        <v>95684.35754572619</v>
      </c>
      <c r="T24" s="11"/>
    </row>
    <row r="25" spans="2:20" x14ac:dyDescent="0.25">
      <c r="B25" s="95" t="s">
        <v>209</v>
      </c>
      <c r="D25" s="301">
        <v>0</v>
      </c>
      <c r="E25" t="s">
        <v>221</v>
      </c>
      <c r="G25" s="217">
        <f>L7*D25</f>
        <v>0</v>
      </c>
      <c r="T25" s="11"/>
    </row>
    <row r="26" spans="2:20" x14ac:dyDescent="0.25">
      <c r="B26" s="168" t="s">
        <v>206</v>
      </c>
      <c r="C26" s="135"/>
      <c r="D26" s="321">
        <v>0.05</v>
      </c>
      <c r="E26" s="135" t="s">
        <v>221</v>
      </c>
      <c r="F26" s="135"/>
      <c r="G26" s="170">
        <f>L7*D26</f>
        <v>100234.82215475079</v>
      </c>
      <c r="T26" s="11"/>
    </row>
    <row r="27" spans="2:20" x14ac:dyDescent="0.25">
      <c r="B27" s="229" t="s">
        <v>207</v>
      </c>
      <c r="C27" s="175"/>
      <c r="D27" s="175"/>
      <c r="E27" s="175"/>
      <c r="F27" s="175"/>
      <c r="G27" s="220">
        <f>SUM(G24:G26)</f>
        <v>195919.17970047699</v>
      </c>
      <c r="T27" s="11"/>
    </row>
    <row r="28" spans="2:20" x14ac:dyDescent="0.25">
      <c r="T28" s="11"/>
    </row>
    <row r="29" spans="2:20" x14ac:dyDescent="0.25">
      <c r="T29" s="11"/>
    </row>
    <row r="30" spans="2:20" x14ac:dyDescent="0.25">
      <c r="T30" s="11"/>
    </row>
    <row r="31" spans="2:20" x14ac:dyDescent="0.25">
      <c r="T31" s="11"/>
    </row>
    <row r="32" spans="2:20" x14ac:dyDescent="0.25">
      <c r="T32" s="11"/>
    </row>
    <row r="33" spans="1:20" x14ac:dyDescent="0.25">
      <c r="T33" s="11"/>
    </row>
    <row r="34" spans="1:20" x14ac:dyDescent="0.25">
      <c r="T34" s="11"/>
    </row>
    <row r="35" spans="1:20" x14ac:dyDescent="0.25">
      <c r="T35" s="11"/>
    </row>
    <row r="36" spans="1:20" x14ac:dyDescent="0.25">
      <c r="T36" s="11"/>
    </row>
    <row r="37" spans="1:20" x14ac:dyDescent="0.25">
      <c r="T37" s="11"/>
    </row>
    <row r="40" spans="1:20" s="122" customFormat="1" ht="21" x14ac:dyDescent="0.35">
      <c r="A40" s="173" t="s">
        <v>178</v>
      </c>
    </row>
    <row r="43" spans="1:20" ht="23.25" x14ac:dyDescent="0.35">
      <c r="B43" s="88" t="s">
        <v>179</v>
      </c>
      <c r="C43" s="88"/>
      <c r="D43" s="90" t="s">
        <v>189</v>
      </c>
      <c r="E43" s="90" t="s">
        <v>3</v>
      </c>
      <c r="F43" s="90" t="s">
        <v>190</v>
      </c>
      <c r="H43" s="88" t="s">
        <v>174</v>
      </c>
      <c r="I43" s="90"/>
      <c r="J43" s="90"/>
      <c r="K43" s="90"/>
      <c r="L43" s="90"/>
      <c r="M43" s="90"/>
      <c r="N43" s="90" t="s">
        <v>190</v>
      </c>
    </row>
    <row r="44" spans="1:20" x14ac:dyDescent="0.25">
      <c r="B44" s="91" t="s">
        <v>28</v>
      </c>
      <c r="D44" s="213">
        <f>Dashboard!E19</f>
        <v>7000</v>
      </c>
      <c r="E44" s="203">
        <f>'Process model'!I6</f>
        <v>500</v>
      </c>
      <c r="F44" s="198">
        <f>E44*D44</f>
        <v>3500000</v>
      </c>
      <c r="H44" s="91" t="s">
        <v>55</v>
      </c>
      <c r="J44" s="205">
        <f>Dashboard!E23</f>
        <v>0.11</v>
      </c>
      <c r="K44" s="206" t="s">
        <v>183</v>
      </c>
      <c r="L44" s="197">
        <f>'Equipment sizing'!F9</f>
        <v>117485.83428727547</v>
      </c>
      <c r="M44" s="207" t="s">
        <v>182</v>
      </c>
      <c r="N44" s="198">
        <f>L44*J44</f>
        <v>12923.441771600303</v>
      </c>
      <c r="Q44" s="74"/>
    </row>
    <row r="45" spans="1:20" x14ac:dyDescent="0.25">
      <c r="H45" s="95" t="s">
        <v>117</v>
      </c>
      <c r="J45" s="306">
        <v>2.5000000000000001E-2</v>
      </c>
      <c r="K45" s="208" t="s">
        <v>184</v>
      </c>
      <c r="L45" s="39">
        <f>'Equipment sizing'!G10</f>
        <v>12980.991239839361</v>
      </c>
      <c r="M45" s="209" t="s">
        <v>3</v>
      </c>
      <c r="N45" s="210">
        <f>L45*J45</f>
        <v>324.52478099598403</v>
      </c>
    </row>
    <row r="46" spans="1:20" x14ac:dyDescent="0.25">
      <c r="B46" s="168"/>
      <c r="C46" s="199"/>
      <c r="D46" s="199"/>
      <c r="E46" s="200"/>
      <c r="F46" s="201"/>
      <c r="H46" s="168"/>
      <c r="I46" s="211"/>
      <c r="J46" s="211"/>
      <c r="K46" s="135"/>
      <c r="L46" s="200"/>
      <c r="M46" s="200"/>
      <c r="N46" s="201"/>
    </row>
    <row r="47" spans="1:20" x14ac:dyDescent="0.25">
      <c r="B47" s="174" t="s">
        <v>137</v>
      </c>
      <c r="C47" s="176"/>
      <c r="D47" s="196"/>
      <c r="E47" s="196"/>
      <c r="F47" s="202">
        <f>SUM(F44:F46)</f>
        <v>3500000</v>
      </c>
      <c r="H47" s="174" t="s">
        <v>137</v>
      </c>
      <c r="J47" s="176"/>
      <c r="K47" s="196"/>
      <c r="L47" s="196"/>
      <c r="M47" s="202"/>
      <c r="N47" s="202">
        <f>SUM(N44:N46)</f>
        <v>13247.966552596286</v>
      </c>
    </row>
    <row r="48" spans="1:20" x14ac:dyDescent="0.25">
      <c r="N48" s="63"/>
      <c r="O48" s="197"/>
    </row>
    <row r="49" spans="2:15" x14ac:dyDescent="0.25">
      <c r="M49" s="63"/>
      <c r="N49" s="197"/>
      <c r="O49" s="197"/>
    </row>
    <row r="50" spans="2:15" x14ac:dyDescent="0.25">
      <c r="M50" s="63"/>
      <c r="N50" s="197"/>
      <c r="O50" s="197"/>
    </row>
    <row r="51" spans="2:15" x14ac:dyDescent="0.25">
      <c r="M51" s="63"/>
      <c r="N51" s="197"/>
      <c r="O51" s="197"/>
    </row>
    <row r="52" spans="2:15" ht="23.25" x14ac:dyDescent="0.35">
      <c r="B52" s="88" t="s">
        <v>173</v>
      </c>
      <c r="C52" s="88"/>
      <c r="D52" s="90" t="s">
        <v>189</v>
      </c>
      <c r="E52" s="90" t="s">
        <v>3</v>
      </c>
      <c r="F52" s="90" t="s">
        <v>190</v>
      </c>
      <c r="H52" s="88" t="s">
        <v>175</v>
      </c>
      <c r="I52" s="88"/>
      <c r="J52" s="90"/>
      <c r="K52" s="90"/>
      <c r="L52" s="90"/>
      <c r="M52" s="90"/>
      <c r="N52" s="90" t="s">
        <v>190</v>
      </c>
    </row>
    <row r="53" spans="2:15" x14ac:dyDescent="0.25">
      <c r="B53" s="91" t="s">
        <v>17</v>
      </c>
      <c r="D53" s="213">
        <f>Dashboard!E20</f>
        <v>1150</v>
      </c>
      <c r="E53" s="197">
        <f>'Process model'!I7</f>
        <v>0.53705263161331884</v>
      </c>
      <c r="F53" s="198">
        <f>E53*D53</f>
        <v>617.61052635531667</v>
      </c>
      <c r="H53" s="91" t="s">
        <v>185</v>
      </c>
      <c r="I53" s="91"/>
      <c r="J53" s="232">
        <v>6</v>
      </c>
      <c r="K53" s="215" t="s">
        <v>186</v>
      </c>
      <c r="L53" s="216">
        <f>Dashboard!E24</f>
        <v>72000</v>
      </c>
      <c r="M53" s="214" t="s">
        <v>191</v>
      </c>
      <c r="N53" s="198">
        <f>L53*J53</f>
        <v>432000</v>
      </c>
    </row>
    <row r="54" spans="2:15" x14ac:dyDescent="0.25">
      <c r="B54" s="91" t="s">
        <v>18</v>
      </c>
      <c r="D54" s="213">
        <f>Dashboard!E21</f>
        <v>1050</v>
      </c>
      <c r="E54" s="197">
        <f>'Process model'!I8</f>
        <v>537.05263161331879</v>
      </c>
      <c r="F54" s="198">
        <f>E54*D54</f>
        <v>563905.26319398475</v>
      </c>
      <c r="H54" s="95"/>
      <c r="I54" s="95"/>
      <c r="J54" s="213"/>
      <c r="K54" s="212"/>
      <c r="L54" s="213"/>
      <c r="M54" s="212"/>
      <c r="N54" s="210"/>
    </row>
    <row r="55" spans="2:15" x14ac:dyDescent="0.25">
      <c r="B55" s="168" t="s">
        <v>19</v>
      </c>
      <c r="C55" s="135"/>
      <c r="D55" s="322">
        <f>Dashboard!E22</f>
        <v>2100</v>
      </c>
      <c r="E55" s="200">
        <f>'Process model'!I9</f>
        <v>4.0816000002612228E-3</v>
      </c>
      <c r="F55" s="201">
        <f>E55*D55</f>
        <v>8.5713600005485677</v>
      </c>
      <c r="H55" s="135"/>
      <c r="I55" s="135"/>
      <c r="J55" s="135"/>
      <c r="K55" s="135"/>
      <c r="L55" s="135"/>
      <c r="M55" s="135"/>
      <c r="N55" s="135"/>
    </row>
    <row r="56" spans="2:15" x14ac:dyDescent="0.25">
      <c r="B56" s="174" t="s">
        <v>137</v>
      </c>
      <c r="C56" s="174"/>
      <c r="D56" s="176"/>
      <c r="E56" s="196"/>
      <c r="F56" s="202">
        <f>SUM(F53:F55)</f>
        <v>564531.44508034061</v>
      </c>
      <c r="H56" s="174" t="s">
        <v>137</v>
      </c>
      <c r="I56" s="174"/>
      <c r="J56" s="176"/>
      <c r="K56" s="63"/>
      <c r="L56" s="196"/>
      <c r="M56" s="196"/>
      <c r="N56" s="202">
        <f>SUM(N53:N55)</f>
        <v>432000</v>
      </c>
    </row>
    <row r="61" spans="2:15" ht="23.25" x14ac:dyDescent="0.35">
      <c r="H61" s="88" t="s">
        <v>181</v>
      </c>
      <c r="I61" s="88"/>
      <c r="J61" s="90"/>
      <c r="K61" s="90"/>
      <c r="L61" s="90"/>
      <c r="M61" s="90"/>
      <c r="N61" s="90" t="s">
        <v>190</v>
      </c>
    </row>
    <row r="62" spans="2:15" x14ac:dyDescent="0.25">
      <c r="H62" s="91" t="s">
        <v>213</v>
      </c>
      <c r="I62" s="91"/>
      <c r="J62" s="76"/>
      <c r="K62" s="215"/>
      <c r="L62" s="216"/>
      <c r="M62" s="214"/>
      <c r="N62" s="198"/>
    </row>
    <row r="63" spans="2:15" x14ac:dyDescent="0.25">
      <c r="H63" s="95"/>
      <c r="I63" s="95"/>
      <c r="J63" s="213"/>
      <c r="K63" s="212"/>
      <c r="L63" s="213"/>
      <c r="M63" s="212"/>
      <c r="N63" s="210"/>
    </row>
    <row r="64" spans="2:15" x14ac:dyDescent="0.25">
      <c r="H64" s="135"/>
      <c r="I64" s="135"/>
      <c r="J64" s="135"/>
      <c r="K64" s="135"/>
      <c r="L64" s="135"/>
      <c r="M64" s="135"/>
      <c r="N64" s="135"/>
    </row>
    <row r="65" spans="5:15" x14ac:dyDescent="0.25">
      <c r="H65" s="174" t="s">
        <v>137</v>
      </c>
      <c r="I65" s="174"/>
      <c r="J65" s="176"/>
      <c r="K65" s="63"/>
      <c r="L65" s="196"/>
      <c r="M65" s="196"/>
      <c r="N65" s="202">
        <f>SUM(N62:N64)</f>
        <v>0</v>
      </c>
    </row>
    <row r="67" spans="5:15" x14ac:dyDescent="0.25">
      <c r="E67" s="63"/>
      <c r="F67" s="196"/>
      <c r="G67" s="196"/>
      <c r="H67" s="202"/>
    </row>
    <row r="71" spans="5:15" x14ac:dyDescent="0.25">
      <c r="J71" s="174"/>
      <c r="K71" s="174"/>
      <c r="L71" s="176"/>
      <c r="M71" s="63"/>
      <c r="N71" s="196"/>
      <c r="O71" s="202"/>
    </row>
    <row r="95" spans="2:2" x14ac:dyDescent="0.25">
      <c r="B95" s="91"/>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249977111117893"/>
  </sheetPr>
  <dimension ref="A1:R44"/>
  <sheetViews>
    <sheetView showGridLines="0" zoomScale="85" zoomScaleNormal="85" workbookViewId="0">
      <selection activeCell="A30" sqref="A30"/>
    </sheetView>
  </sheetViews>
  <sheetFormatPr defaultColWidth="11.42578125" defaultRowHeight="15" x14ac:dyDescent="0.25"/>
  <cols>
    <col min="1" max="1" width="2.85546875" customWidth="1"/>
    <col min="4" max="4" width="12.140625" customWidth="1"/>
    <col min="6" max="6" width="11.42578125" customWidth="1"/>
    <col min="8" max="8" width="12" customWidth="1"/>
  </cols>
  <sheetData>
    <row r="1" spans="1:18" s="159" customFormat="1" ht="26.25" x14ac:dyDescent="0.4">
      <c r="A1" s="158" t="s">
        <v>229</v>
      </c>
      <c r="I1" s="160"/>
      <c r="N1" s="161"/>
      <c r="Q1" s="162"/>
      <c r="R1" s="163"/>
    </row>
    <row r="2" spans="1:18" ht="15.75" x14ac:dyDescent="0.25">
      <c r="B2" s="164" t="s">
        <v>230</v>
      </c>
    </row>
    <row r="5" spans="1:18" ht="23.25" x14ac:dyDescent="0.35">
      <c r="B5" s="9" t="s">
        <v>231</v>
      </c>
      <c r="C5" s="88"/>
      <c r="D5" s="90"/>
      <c r="F5" s="9" t="s">
        <v>226</v>
      </c>
      <c r="G5" s="88"/>
      <c r="H5" s="90"/>
      <c r="I5" s="90"/>
    </row>
    <row r="6" spans="1:18" x14ac:dyDescent="0.25">
      <c r="B6" s="91" t="s">
        <v>232</v>
      </c>
      <c r="D6" s="230">
        <v>0.4</v>
      </c>
      <c r="F6" s="91" t="s">
        <v>233</v>
      </c>
      <c r="H6" s="184">
        <f>IRR(E36:N36)</f>
        <v>0.36224523495016192</v>
      </c>
    </row>
    <row r="7" spans="1:18" x14ac:dyDescent="0.25">
      <c r="B7" s="91" t="s">
        <v>234</v>
      </c>
      <c r="D7" s="230">
        <v>0.1</v>
      </c>
      <c r="F7" s="91" t="s">
        <v>235</v>
      </c>
      <c r="H7" s="178">
        <f>(NPV(Discount_Rate,F36:N36)+E36)</f>
        <v>3.5575667203713488</v>
      </c>
      <c r="I7" t="s">
        <v>236</v>
      </c>
    </row>
    <row r="8" spans="1:18" x14ac:dyDescent="0.25">
      <c r="B8" s="91" t="s">
        <v>372</v>
      </c>
      <c r="D8" s="230">
        <v>0.05</v>
      </c>
      <c r="E8" t="s">
        <v>371</v>
      </c>
      <c r="F8" s="91" t="s">
        <v>315</v>
      </c>
      <c r="H8" s="185">
        <f>F42</f>
        <v>2.7562833343919424</v>
      </c>
      <c r="I8" t="s">
        <v>228</v>
      </c>
    </row>
    <row r="9" spans="1:18" x14ac:dyDescent="0.25">
      <c r="F9" s="91" t="s">
        <v>316</v>
      </c>
      <c r="H9" s="185">
        <f>J42</f>
        <v>2.3230434077067308</v>
      </c>
      <c r="I9" t="s">
        <v>228</v>
      </c>
    </row>
    <row r="15" spans="1:18" ht="18.75" x14ac:dyDescent="0.3">
      <c r="D15" s="9" t="s">
        <v>237</v>
      </c>
      <c r="E15" s="20">
        <v>1</v>
      </c>
      <c r="F15" s="20">
        <v>2</v>
      </c>
      <c r="G15" s="20">
        <v>3</v>
      </c>
      <c r="H15" s="20">
        <v>4</v>
      </c>
      <c r="I15" s="20">
        <v>5</v>
      </c>
      <c r="J15" s="20">
        <v>6</v>
      </c>
      <c r="K15" s="20">
        <v>7</v>
      </c>
      <c r="L15" s="20">
        <v>8</v>
      </c>
      <c r="M15" s="20">
        <v>9</v>
      </c>
      <c r="N15" s="20">
        <v>10</v>
      </c>
    </row>
    <row r="17" spans="2:14" ht="23.25" x14ac:dyDescent="0.35">
      <c r="B17" s="9" t="s">
        <v>238</v>
      </c>
      <c r="C17" s="88"/>
      <c r="D17" s="180" t="s">
        <v>236</v>
      </c>
      <c r="E17" s="231">
        <f>SUM(E19,E21)</f>
        <v>-2.4559345752872366</v>
      </c>
      <c r="F17" s="231">
        <f t="shared" ref="F17:N17" si="0">SUM(F19,F21)</f>
        <v>0</v>
      </c>
      <c r="G17" s="231">
        <f t="shared" si="0"/>
        <v>0</v>
      </c>
      <c r="H17" s="231">
        <f t="shared" si="0"/>
        <v>0</v>
      </c>
      <c r="I17" s="231">
        <f t="shared" si="0"/>
        <v>0</v>
      </c>
      <c r="J17" s="231">
        <f t="shared" si="0"/>
        <v>0</v>
      </c>
      <c r="K17" s="231">
        <f t="shared" si="0"/>
        <v>0</v>
      </c>
      <c r="L17" s="231">
        <f t="shared" si="0"/>
        <v>0</v>
      </c>
      <c r="M17" s="231">
        <f t="shared" si="0"/>
        <v>0</v>
      </c>
      <c r="N17" s="231">
        <f t="shared" si="0"/>
        <v>0.4271190565716933</v>
      </c>
    </row>
    <row r="18" spans="2:14" x14ac:dyDescent="0.25">
      <c r="B18" s="91" t="s">
        <v>154</v>
      </c>
      <c r="D18" t="s">
        <v>0</v>
      </c>
      <c r="E18" s="230">
        <v>1</v>
      </c>
      <c r="F18" s="230"/>
      <c r="G18" s="230"/>
      <c r="H18" s="232"/>
      <c r="I18" s="232"/>
      <c r="J18" s="232"/>
      <c r="K18" s="232"/>
      <c r="L18" s="232"/>
      <c r="M18" s="232"/>
      <c r="N18" s="230">
        <f>-SalvagePercent</f>
        <v>-0.05</v>
      </c>
    </row>
    <row r="19" spans="2:14" x14ac:dyDescent="0.25">
      <c r="B19" s="132"/>
      <c r="C19" s="22"/>
      <c r="D19" s="22" t="s">
        <v>236</v>
      </c>
      <c r="E19" s="80">
        <f t="shared" ref="E19:N19" si="1">-E18*Fixed_Capital/10^6</f>
        <v>-2.1355952828584668</v>
      </c>
      <c r="F19" s="80">
        <f t="shared" si="1"/>
        <v>0</v>
      </c>
      <c r="G19" s="80">
        <f t="shared" si="1"/>
        <v>0</v>
      </c>
      <c r="H19" s="80">
        <f t="shared" si="1"/>
        <v>0</v>
      </c>
      <c r="I19" s="80">
        <f t="shared" si="1"/>
        <v>0</v>
      </c>
      <c r="J19" s="80">
        <f t="shared" si="1"/>
        <v>0</v>
      </c>
      <c r="K19" s="80">
        <f t="shared" si="1"/>
        <v>0</v>
      </c>
      <c r="L19" s="80">
        <f t="shared" si="1"/>
        <v>0</v>
      </c>
      <c r="M19" s="80">
        <f t="shared" si="1"/>
        <v>0</v>
      </c>
      <c r="N19" s="80">
        <f t="shared" si="1"/>
        <v>0.10677976414292335</v>
      </c>
    </row>
    <row r="20" spans="2:14" x14ac:dyDescent="0.25">
      <c r="B20" s="91" t="s">
        <v>136</v>
      </c>
      <c r="D20" t="s">
        <v>0</v>
      </c>
      <c r="E20" s="230">
        <v>1</v>
      </c>
      <c r="F20" s="230"/>
      <c r="G20" s="230"/>
      <c r="H20" s="232"/>
      <c r="I20" s="232"/>
      <c r="J20" s="232"/>
      <c r="K20" s="232"/>
      <c r="L20" s="232"/>
      <c r="M20" s="232"/>
      <c r="N20" s="230">
        <v>-1</v>
      </c>
    </row>
    <row r="21" spans="2:14" x14ac:dyDescent="0.25">
      <c r="B21" s="95"/>
      <c r="C21" s="11"/>
      <c r="D21" s="11" t="s">
        <v>236</v>
      </c>
      <c r="E21" s="127">
        <f t="shared" ref="E21:N21" si="2">-E20*Working_Capital/10^6</f>
        <v>-0.32033929242876996</v>
      </c>
      <c r="F21" s="127">
        <f t="shared" si="2"/>
        <v>0</v>
      </c>
      <c r="G21" s="127">
        <f t="shared" si="2"/>
        <v>0</v>
      </c>
      <c r="H21" s="127">
        <f t="shared" si="2"/>
        <v>0</v>
      </c>
      <c r="I21" s="127">
        <f t="shared" si="2"/>
        <v>0</v>
      </c>
      <c r="J21" s="127">
        <f t="shared" si="2"/>
        <v>0</v>
      </c>
      <c r="K21" s="127">
        <f t="shared" si="2"/>
        <v>0</v>
      </c>
      <c r="L21" s="127">
        <f t="shared" si="2"/>
        <v>0</v>
      </c>
      <c r="M21" s="127">
        <f t="shared" si="2"/>
        <v>0</v>
      </c>
      <c r="N21" s="127">
        <f t="shared" si="2"/>
        <v>0.32033929242876996</v>
      </c>
    </row>
    <row r="22" spans="2:14" x14ac:dyDescent="0.25">
      <c r="B22" s="91"/>
      <c r="E22" s="127"/>
      <c r="F22" s="127"/>
      <c r="G22" s="127"/>
    </row>
    <row r="24" spans="2:14" ht="23.25" x14ac:dyDescent="0.35">
      <c r="B24" s="9" t="s">
        <v>224</v>
      </c>
      <c r="C24" s="88"/>
      <c r="D24" s="180" t="s">
        <v>236</v>
      </c>
      <c r="E24" s="231">
        <f>E26+E27</f>
        <v>0</v>
      </c>
      <c r="F24" s="231">
        <f t="shared" ref="F24:N24" si="3">F26+F27</f>
        <v>0.85443154259541565</v>
      </c>
      <c r="G24" s="231">
        <f t="shared" si="3"/>
        <v>1.7088630851908313</v>
      </c>
      <c r="H24" s="231">
        <f t="shared" si="3"/>
        <v>1.7088630851908313</v>
      </c>
      <c r="I24" s="231">
        <f t="shared" si="3"/>
        <v>1.7088630851908313</v>
      </c>
      <c r="J24" s="231">
        <f t="shared" si="3"/>
        <v>1.7088630851908313</v>
      </c>
      <c r="K24" s="231">
        <f t="shared" si="3"/>
        <v>1.7088630851908313</v>
      </c>
      <c r="L24" s="231">
        <f t="shared" si="3"/>
        <v>1.7088630851908313</v>
      </c>
      <c r="M24" s="231">
        <f t="shared" si="3"/>
        <v>1.7088630851908313</v>
      </c>
      <c r="N24" s="231">
        <f t="shared" si="3"/>
        <v>1.7088630851908313</v>
      </c>
    </row>
    <row r="25" spans="2:14" x14ac:dyDescent="0.25">
      <c r="B25" s="91" t="s">
        <v>239</v>
      </c>
      <c r="D25" t="s">
        <v>0</v>
      </c>
      <c r="E25" s="230"/>
      <c r="F25" s="230">
        <v>0.5</v>
      </c>
      <c r="G25" s="230">
        <v>1</v>
      </c>
      <c r="H25" s="230">
        <v>1</v>
      </c>
      <c r="I25" s="230">
        <v>1</v>
      </c>
      <c r="J25" s="230">
        <v>1</v>
      </c>
      <c r="K25" s="230">
        <v>1</v>
      </c>
      <c r="L25" s="230">
        <v>1</v>
      </c>
      <c r="M25" s="230">
        <v>1</v>
      </c>
      <c r="N25" s="230">
        <v>1</v>
      </c>
    </row>
    <row r="26" spans="2:14" x14ac:dyDescent="0.25">
      <c r="B26" s="91" t="s">
        <v>177</v>
      </c>
      <c r="D26" t="s">
        <v>236</v>
      </c>
      <c r="E26" s="127">
        <f t="shared" ref="E26:F26" si="4">E25*Revenue/10^6</f>
        <v>0</v>
      </c>
      <c r="F26" s="127">
        <f t="shared" si="4"/>
        <v>1.75</v>
      </c>
      <c r="G26" s="127">
        <f t="shared" ref="G26:L26" si="5">G25*Revenue/10^6</f>
        <v>3.5</v>
      </c>
      <c r="H26" s="127">
        <f t="shared" si="5"/>
        <v>3.5</v>
      </c>
      <c r="I26" s="127">
        <f t="shared" si="5"/>
        <v>3.5</v>
      </c>
      <c r="J26" s="127">
        <f t="shared" si="5"/>
        <v>3.5</v>
      </c>
      <c r="K26" s="127">
        <f t="shared" si="5"/>
        <v>3.5</v>
      </c>
      <c r="L26" s="127">
        <f t="shared" si="5"/>
        <v>3.5</v>
      </c>
      <c r="M26" s="127">
        <f t="shared" ref="M26:N26" si="6">M25*Revenue/10^6</f>
        <v>3.5</v>
      </c>
      <c r="N26" s="127">
        <f t="shared" si="6"/>
        <v>3.5</v>
      </c>
    </row>
    <row r="27" spans="2:14" x14ac:dyDescent="0.25">
      <c r="B27" s="91" t="s">
        <v>172</v>
      </c>
      <c r="D27" t="s">
        <v>236</v>
      </c>
      <c r="E27" s="127">
        <f t="shared" ref="E27:N27" si="7">-E25*OpEx_without_depr/10^6</f>
        <v>0</v>
      </c>
      <c r="F27" s="127">
        <f t="shared" si="7"/>
        <v>-0.89556845740458435</v>
      </c>
      <c r="G27" s="127">
        <f t="shared" si="7"/>
        <v>-1.7911369148091687</v>
      </c>
      <c r="H27" s="127">
        <f t="shared" si="7"/>
        <v>-1.7911369148091687</v>
      </c>
      <c r="I27" s="127">
        <f t="shared" si="7"/>
        <v>-1.7911369148091687</v>
      </c>
      <c r="J27" s="127">
        <f t="shared" si="7"/>
        <v>-1.7911369148091687</v>
      </c>
      <c r="K27" s="127">
        <f t="shared" si="7"/>
        <v>-1.7911369148091687</v>
      </c>
      <c r="L27" s="127">
        <f t="shared" si="7"/>
        <v>-1.7911369148091687</v>
      </c>
      <c r="M27" s="127">
        <f t="shared" si="7"/>
        <v>-1.7911369148091687</v>
      </c>
      <c r="N27" s="127">
        <f t="shared" si="7"/>
        <v>-1.7911369148091687</v>
      </c>
    </row>
    <row r="30" spans="2:14" ht="23.25" x14ac:dyDescent="0.35">
      <c r="B30" s="9" t="s">
        <v>225</v>
      </c>
      <c r="C30" s="88"/>
      <c r="D30" s="180" t="s">
        <v>236</v>
      </c>
      <c r="E30" s="231">
        <f t="shared" ref="E30:N30" si="8">E24-E33*Income_Tax_Rate</f>
        <v>0</v>
      </c>
      <c r="F30" s="231">
        <f t="shared" si="8"/>
        <v>0.51265892555724935</v>
      </c>
      <c r="G30" s="231">
        <f t="shared" si="8"/>
        <v>1.1064704718631204</v>
      </c>
      <c r="H30" s="231">
        <f t="shared" si="8"/>
        <v>1.1064704718631204</v>
      </c>
      <c r="I30" s="231">
        <f t="shared" si="8"/>
        <v>1.1064704718631204</v>
      </c>
      <c r="J30" s="231">
        <f t="shared" si="8"/>
        <v>1.1064704718631204</v>
      </c>
      <c r="K30" s="231">
        <f t="shared" si="8"/>
        <v>1.1064704718631204</v>
      </c>
      <c r="L30" s="231">
        <f t="shared" si="8"/>
        <v>1.1064704718631204</v>
      </c>
      <c r="M30" s="231">
        <f t="shared" si="8"/>
        <v>1.1064704718631204</v>
      </c>
      <c r="N30" s="231">
        <f t="shared" si="8"/>
        <v>1.1064704718631204</v>
      </c>
    </row>
    <row r="31" spans="2:14" x14ac:dyDescent="0.25">
      <c r="B31" s="91" t="s">
        <v>240</v>
      </c>
      <c r="D31" t="s">
        <v>241</v>
      </c>
      <c r="E31" s="234"/>
      <c r="F31" s="234"/>
      <c r="G31" s="230">
        <v>0.1</v>
      </c>
      <c r="H31" s="230">
        <v>0.1</v>
      </c>
      <c r="I31" s="230">
        <v>0.1</v>
      </c>
      <c r="J31" s="230">
        <v>0.1</v>
      </c>
      <c r="K31" s="230">
        <v>0.1</v>
      </c>
      <c r="L31" s="230">
        <v>0.1</v>
      </c>
      <c r="M31" s="230">
        <v>0.1</v>
      </c>
      <c r="N31" s="230">
        <v>0.1</v>
      </c>
    </row>
    <row r="32" spans="2:14" x14ac:dyDescent="0.25">
      <c r="B32" s="132"/>
      <c r="C32" s="22"/>
      <c r="D32" s="22" t="s">
        <v>236</v>
      </c>
      <c r="E32" s="233">
        <f t="shared" ref="E32:N32" si="9">E31*Fixed_Capital*(1-SalvagePercent)/10^6</f>
        <v>0</v>
      </c>
      <c r="F32" s="233">
        <f t="shared" si="9"/>
        <v>0</v>
      </c>
      <c r="G32" s="233">
        <f t="shared" si="9"/>
        <v>0.20288155187155435</v>
      </c>
      <c r="H32" s="233">
        <f t="shared" si="9"/>
        <v>0.20288155187155435</v>
      </c>
      <c r="I32" s="233">
        <f t="shared" si="9"/>
        <v>0.20288155187155435</v>
      </c>
      <c r="J32" s="233">
        <f t="shared" si="9"/>
        <v>0.20288155187155435</v>
      </c>
      <c r="K32" s="233">
        <f t="shared" si="9"/>
        <v>0.20288155187155435</v>
      </c>
      <c r="L32" s="233">
        <f t="shared" si="9"/>
        <v>0.20288155187155435</v>
      </c>
      <c r="M32" s="233">
        <f t="shared" si="9"/>
        <v>0.20288155187155435</v>
      </c>
      <c r="N32" s="233">
        <f t="shared" si="9"/>
        <v>0.20288155187155435</v>
      </c>
    </row>
    <row r="33" spans="2:14" x14ac:dyDescent="0.25">
      <c r="B33" s="91" t="s">
        <v>242</v>
      </c>
      <c r="D33" t="s">
        <v>236</v>
      </c>
      <c r="E33" s="127">
        <f t="shared" ref="E33" si="10">IF(E24-E32&gt;0,E24-E32,0)</f>
        <v>0</v>
      </c>
      <c r="F33" s="127">
        <f>IF(F24-F32&gt;0,F24-F32,0)</f>
        <v>0.85443154259541565</v>
      </c>
      <c r="G33" s="127">
        <f>IF(G24-G32&gt;0,G24-G32,0)</f>
        <v>1.505981533319277</v>
      </c>
      <c r="H33" s="127">
        <f t="shared" ref="H33:N33" si="11">IF(H24-H32&gt;0,H24-H32,0)</f>
        <v>1.505981533319277</v>
      </c>
      <c r="I33" s="127">
        <f t="shared" si="11"/>
        <v>1.505981533319277</v>
      </c>
      <c r="J33" s="127">
        <f t="shared" si="11"/>
        <v>1.505981533319277</v>
      </c>
      <c r="K33" s="127">
        <f t="shared" si="11"/>
        <v>1.505981533319277</v>
      </c>
      <c r="L33" s="127">
        <f t="shared" si="11"/>
        <v>1.505981533319277</v>
      </c>
      <c r="M33" s="127">
        <f t="shared" si="11"/>
        <v>1.505981533319277</v>
      </c>
      <c r="N33" s="127">
        <f t="shared" si="11"/>
        <v>1.505981533319277</v>
      </c>
    </row>
    <row r="34" spans="2:14" x14ac:dyDescent="0.25">
      <c r="B34" s="91"/>
    </row>
    <row r="36" spans="2:14" ht="23.25" x14ac:dyDescent="0.35">
      <c r="B36" s="9" t="s">
        <v>243</v>
      </c>
      <c r="C36" s="88"/>
      <c r="D36" s="180" t="s">
        <v>236</v>
      </c>
      <c r="E36" s="231">
        <f>E30+E17</f>
        <v>-2.4559345752872366</v>
      </c>
      <c r="F36" s="231">
        <f t="shared" ref="F36:N36" si="12">F30+F17</f>
        <v>0.51265892555724935</v>
      </c>
      <c r="G36" s="231">
        <f t="shared" si="12"/>
        <v>1.1064704718631204</v>
      </c>
      <c r="H36" s="231">
        <f t="shared" si="12"/>
        <v>1.1064704718631204</v>
      </c>
      <c r="I36" s="231">
        <f t="shared" si="12"/>
        <v>1.1064704718631204</v>
      </c>
      <c r="J36" s="231">
        <f t="shared" si="12"/>
        <v>1.1064704718631204</v>
      </c>
      <c r="K36" s="231">
        <f t="shared" si="12"/>
        <v>1.1064704718631204</v>
      </c>
      <c r="L36" s="231">
        <f t="shared" si="12"/>
        <v>1.1064704718631204</v>
      </c>
      <c r="M36" s="231">
        <f t="shared" si="12"/>
        <v>1.1064704718631204</v>
      </c>
      <c r="N36" s="231">
        <f t="shared" si="12"/>
        <v>1.5335895284348138</v>
      </c>
    </row>
    <row r="37" spans="2:14" x14ac:dyDescent="0.25">
      <c r="B37" s="91" t="s">
        <v>244</v>
      </c>
      <c r="D37" t="s">
        <v>236</v>
      </c>
      <c r="E37" s="80">
        <f>E36</f>
        <v>-2.4559345752872366</v>
      </c>
      <c r="F37" s="80">
        <f>F36+E37</f>
        <v>-1.9432756497299872</v>
      </c>
      <c r="G37" s="80">
        <f t="shared" ref="G37:N37" si="13">G36+F37</f>
        <v>-0.83680517786686681</v>
      </c>
      <c r="H37" s="80">
        <f t="shared" si="13"/>
        <v>0.26966529399625361</v>
      </c>
      <c r="I37" s="80">
        <f t="shared" si="13"/>
        <v>1.376135765859374</v>
      </c>
      <c r="J37" s="80">
        <f t="shared" si="13"/>
        <v>2.4826062377224947</v>
      </c>
      <c r="K37" s="80">
        <f t="shared" si="13"/>
        <v>3.5890767095856151</v>
      </c>
      <c r="L37" s="80">
        <f t="shared" si="13"/>
        <v>4.6955471814487355</v>
      </c>
      <c r="M37" s="80">
        <f t="shared" si="13"/>
        <v>5.8020176533118555</v>
      </c>
      <c r="N37" s="80">
        <f t="shared" si="13"/>
        <v>7.3356071817466688</v>
      </c>
    </row>
    <row r="38" spans="2:14" x14ac:dyDescent="0.25">
      <c r="B38" s="91" t="s">
        <v>245</v>
      </c>
      <c r="D38" t="s">
        <v>236</v>
      </c>
      <c r="E38" s="127">
        <f>E36/(1+Discount_Rate)^(E15-1)</f>
        <v>-2.4559345752872366</v>
      </c>
      <c r="F38" s="127">
        <f t="shared" ref="F38:N38" si="14">F36/(1+Discount_Rate)^(F15-1)</f>
        <v>0.46605356868840847</v>
      </c>
      <c r="G38" s="127">
        <f t="shared" si="14"/>
        <v>0.91443840649844643</v>
      </c>
      <c r="H38" s="127">
        <f t="shared" si="14"/>
        <v>0.83130764227131482</v>
      </c>
      <c r="I38" s="127">
        <f t="shared" si="14"/>
        <v>0.75573422024664993</v>
      </c>
      <c r="J38" s="127">
        <f t="shared" si="14"/>
        <v>0.68703110931513622</v>
      </c>
      <c r="K38" s="127">
        <f t="shared" si="14"/>
        <v>0.62457373574103281</v>
      </c>
      <c r="L38" s="127">
        <f t="shared" si="14"/>
        <v>0.56779430521912067</v>
      </c>
      <c r="M38" s="127">
        <f t="shared" si="14"/>
        <v>0.51617664110829153</v>
      </c>
      <c r="N38" s="127">
        <f t="shared" si="14"/>
        <v>0.65039166657018632</v>
      </c>
    </row>
    <row r="39" spans="2:14" x14ac:dyDescent="0.25">
      <c r="B39" s="91" t="s">
        <v>246</v>
      </c>
      <c r="D39" t="s">
        <v>236</v>
      </c>
      <c r="E39" s="80">
        <f>E38</f>
        <v>-2.4559345752872366</v>
      </c>
      <c r="F39" s="80">
        <f>F38+E39</f>
        <v>-1.9898810065988282</v>
      </c>
      <c r="G39" s="80">
        <f t="shared" ref="G39:N39" si="15">G38+F39</f>
        <v>-1.0754426001003816</v>
      </c>
      <c r="H39" s="80">
        <f t="shared" si="15"/>
        <v>-0.2441349578290668</v>
      </c>
      <c r="I39" s="80">
        <f t="shared" si="15"/>
        <v>0.51159926241758313</v>
      </c>
      <c r="J39" s="80">
        <f t="shared" si="15"/>
        <v>1.1986303717327194</v>
      </c>
      <c r="K39" s="80">
        <f t="shared" si="15"/>
        <v>1.8232041074737522</v>
      </c>
      <c r="L39" s="80">
        <f t="shared" si="15"/>
        <v>2.3909984126928729</v>
      </c>
      <c r="M39" s="80">
        <f t="shared" si="15"/>
        <v>2.9071750538011645</v>
      </c>
      <c r="N39" s="80">
        <f t="shared" si="15"/>
        <v>3.5575667203713506</v>
      </c>
    </row>
    <row r="42" spans="2:14" ht="23.25" x14ac:dyDescent="0.35">
      <c r="B42" s="9" t="s">
        <v>317</v>
      </c>
      <c r="C42" s="88"/>
      <c r="D42" s="180"/>
      <c r="E42" s="231" t="s">
        <v>315</v>
      </c>
      <c r="F42" s="231">
        <f>SUM(F43:N43)</f>
        <v>2.7562833343919424</v>
      </c>
      <c r="G42" s="328" t="s">
        <v>228</v>
      </c>
      <c r="H42" s="231"/>
      <c r="I42" s="231" t="s">
        <v>316</v>
      </c>
      <c r="J42" s="231">
        <f>SUM(F44:N44)</f>
        <v>2.3230434077067308</v>
      </c>
      <c r="K42" s="328" t="s">
        <v>228</v>
      </c>
      <c r="L42" s="231"/>
      <c r="M42" s="231"/>
      <c r="N42" s="231"/>
    </row>
    <row r="43" spans="2:14" x14ac:dyDescent="0.25">
      <c r="B43" s="91" t="s">
        <v>315</v>
      </c>
      <c r="D43" s="127"/>
      <c r="E43" s="63" t="s">
        <v>0</v>
      </c>
      <c r="F43" s="127">
        <f>IF(AND(E37&lt;0,F37&gt;0),INTERCEPT($F$15:$G$15,E37:F37),0)</f>
        <v>0</v>
      </c>
      <c r="G43" s="127">
        <f>IF(AND(F37&lt;0,G37&gt;0),INTERCEPT($F$15:$G$15,F37:G37),0)</f>
        <v>0</v>
      </c>
      <c r="H43" s="127">
        <f t="shared" ref="H43:N43" si="16">IF(AND(G37&lt;0,H37&gt;0),INTERCEPT($F$15:$G$15,G37:H37),0)</f>
        <v>2.7562833343919424</v>
      </c>
      <c r="I43" s="127">
        <f t="shared" si="16"/>
        <v>0</v>
      </c>
      <c r="J43" s="127">
        <f t="shared" si="16"/>
        <v>0</v>
      </c>
      <c r="K43" s="127">
        <f t="shared" si="16"/>
        <v>0</v>
      </c>
      <c r="L43" s="127">
        <f t="shared" si="16"/>
        <v>0</v>
      </c>
      <c r="M43" s="127">
        <f t="shared" si="16"/>
        <v>0</v>
      </c>
      <c r="N43" s="127">
        <f t="shared" si="16"/>
        <v>0</v>
      </c>
    </row>
    <row r="44" spans="2:14" x14ac:dyDescent="0.25">
      <c r="B44" s="91" t="s">
        <v>316</v>
      </c>
      <c r="E44" s="63" t="s">
        <v>0</v>
      </c>
      <c r="F44" s="127">
        <f>IF(AND(E39&lt;0,F39&gt;0),INTERCEPT($F$15:$G$15,E39:F39),0)</f>
        <v>0</v>
      </c>
      <c r="G44" s="127">
        <f>IF(AND(F39&lt;0,G39&gt;0),INTERCEPT($F$15:$G$15,F39:G39),0)</f>
        <v>0</v>
      </c>
      <c r="H44" s="127">
        <f t="shared" ref="H44:N44" si="17">IF(AND(G39&lt;0,H39&gt;0),INTERCEPT($F$15:$G$15,G39:H39),0)</f>
        <v>0</v>
      </c>
      <c r="I44" s="127">
        <f t="shared" si="17"/>
        <v>2.3230434077067308</v>
      </c>
      <c r="J44" s="127">
        <f t="shared" si="17"/>
        <v>0</v>
      </c>
      <c r="K44" s="127">
        <f t="shared" si="17"/>
        <v>0</v>
      </c>
      <c r="L44" s="127">
        <f t="shared" si="17"/>
        <v>0</v>
      </c>
      <c r="M44" s="127">
        <f t="shared" si="17"/>
        <v>0</v>
      </c>
      <c r="N44" s="127">
        <f t="shared" si="17"/>
        <v>0</v>
      </c>
    </row>
  </sheetData>
  <pageMargins left="0.7" right="0.7" top="0.75" bottom="0.75" header="0.3" footer="0.3"/>
  <pageSetup orientation="portrait" horizontalDpi="4294967293"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R16"/>
  <sheetViews>
    <sheetView showGridLines="0" zoomScale="85" zoomScaleNormal="85" workbookViewId="0">
      <selection activeCell="A30" sqref="A30"/>
    </sheetView>
  </sheetViews>
  <sheetFormatPr defaultColWidth="11.42578125" defaultRowHeight="15" x14ac:dyDescent="0.25"/>
  <cols>
    <col min="1" max="1" width="2.85546875" customWidth="1"/>
  </cols>
  <sheetData>
    <row r="1" spans="1:18" s="159" customFormat="1" ht="26.25" x14ac:dyDescent="0.4">
      <c r="A1" s="158" t="s">
        <v>264</v>
      </c>
      <c r="I1" s="160"/>
      <c r="N1" s="161"/>
      <c r="Q1" s="162"/>
      <c r="R1" s="163"/>
    </row>
    <row r="2" spans="1:18" ht="15.75" x14ac:dyDescent="0.25">
      <c r="B2" s="164" t="s">
        <v>382</v>
      </c>
    </row>
    <row r="5" spans="1:18" ht="23.25" x14ac:dyDescent="0.35">
      <c r="B5" s="9" t="s">
        <v>266</v>
      </c>
      <c r="C5" s="88"/>
      <c r="D5" s="88"/>
      <c r="F5" s="9" t="s">
        <v>277</v>
      </c>
      <c r="G5" s="88"/>
      <c r="H5" s="90"/>
      <c r="I5" s="9"/>
      <c r="K5" s="9" t="s">
        <v>265</v>
      </c>
      <c r="L5" s="88"/>
      <c r="M5" s="90"/>
      <c r="N5" s="9"/>
      <c r="O5" s="9"/>
    </row>
    <row r="6" spans="1:18" x14ac:dyDescent="0.25">
      <c r="B6" s="91" t="s">
        <v>267</v>
      </c>
      <c r="C6" s="300">
        <v>1000</v>
      </c>
      <c r="D6" t="s">
        <v>31</v>
      </c>
      <c r="F6" s="91" t="s">
        <v>9</v>
      </c>
      <c r="H6" s="300">
        <v>298</v>
      </c>
      <c r="I6" t="s">
        <v>40</v>
      </c>
      <c r="K6" s="91" t="s">
        <v>41</v>
      </c>
      <c r="M6" s="303">
        <v>8.3144320999999993E-2</v>
      </c>
      <c r="N6" t="s">
        <v>42</v>
      </c>
    </row>
    <row r="7" spans="1:18" x14ac:dyDescent="0.25">
      <c r="B7" s="91" t="s">
        <v>268</v>
      </c>
      <c r="C7" s="303">
        <v>31535999.999999989</v>
      </c>
      <c r="D7" t="s">
        <v>32</v>
      </c>
      <c r="F7" s="91" t="s">
        <v>11</v>
      </c>
      <c r="H7" s="234">
        <v>1</v>
      </c>
      <c r="I7" t="s">
        <v>12</v>
      </c>
    </row>
    <row r="8" spans="1:18" x14ac:dyDescent="0.25">
      <c r="B8" s="91"/>
      <c r="C8" s="300">
        <v>60</v>
      </c>
      <c r="D8" t="s">
        <v>47</v>
      </c>
    </row>
    <row r="9" spans="1:18" x14ac:dyDescent="0.25">
      <c r="B9" s="91"/>
      <c r="C9" s="300">
        <v>8760</v>
      </c>
      <c r="D9" t="s">
        <v>180</v>
      </c>
    </row>
    <row r="10" spans="1:18" x14ac:dyDescent="0.25">
      <c r="B10" s="91" t="s">
        <v>11</v>
      </c>
      <c r="C10" s="300">
        <v>100</v>
      </c>
      <c r="D10" t="s">
        <v>60</v>
      </c>
    </row>
    <row r="14" spans="1:18" x14ac:dyDescent="0.25">
      <c r="L14" s="63"/>
    </row>
    <row r="15" spans="1:18" x14ac:dyDescent="0.25">
      <c r="L15" s="63"/>
    </row>
    <row r="16" spans="1:18" x14ac:dyDescent="0.25">
      <c r="L16" s="6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47</vt:i4>
      </vt:variant>
    </vt:vector>
  </HeadingPairs>
  <TitlesOfParts>
    <vt:vector size="57" baseType="lpstr">
      <vt:lpstr>Documentation</vt:lpstr>
      <vt:lpstr>Dashboard</vt:lpstr>
      <vt:lpstr>Tornado</vt:lpstr>
      <vt:lpstr>Process model</vt:lpstr>
      <vt:lpstr>Equipment sizing</vt:lpstr>
      <vt:lpstr>Equipment costs</vt:lpstr>
      <vt:lpstr>CapEx</vt:lpstr>
      <vt:lpstr>OpEx &amp; Rev</vt:lpstr>
      <vt:lpstr>Cash flow</vt:lpstr>
      <vt:lpstr>Constants</vt:lpstr>
      <vt:lpstr>Catalyst_dosing_rate</vt:lpstr>
      <vt:lpstr>Constant_R</vt:lpstr>
      <vt:lpstr>Conv_Overall</vt:lpstr>
      <vt:lpstr>Conv_SinglePass</vt:lpstr>
      <vt:lpstr>Cp_H2O</vt:lpstr>
      <vt:lpstr>Discount_Rate</vt:lpstr>
      <vt:lpstr>DiscountedPayback</vt:lpstr>
      <vt:lpstr>EqCapacityRangeCheck</vt:lpstr>
      <vt:lpstr>Equipment_Purchase_Cost</vt:lpstr>
      <vt:lpstr>Fixed_Capital</vt:lpstr>
      <vt:lpstr>h_per_yr</vt:lpstr>
      <vt:lpstr>Income_Tax_Rate</vt:lpstr>
      <vt:lpstr>IRR</vt:lpstr>
      <vt:lpstr>kg_per_t</vt:lpstr>
      <vt:lpstr>kPa_per_bar</vt:lpstr>
      <vt:lpstr>Length_Polymer</vt:lpstr>
      <vt:lpstr>MW_catalyst</vt:lpstr>
      <vt:lpstr>MW_H2</vt:lpstr>
      <vt:lpstr>MW_monomer</vt:lpstr>
      <vt:lpstr>MW_polymer</vt:lpstr>
      <vt:lpstr>NPV</vt:lpstr>
      <vt:lpstr>OpEx_with_depr</vt:lpstr>
      <vt:lpstr>OpEx_without_depr</vt:lpstr>
      <vt:lpstr>P_ambient</vt:lpstr>
      <vt:lpstr>P_Reactor</vt:lpstr>
      <vt:lpstr>Tornado!Print_Area</vt:lpstr>
      <vt:lpstr>Product_Loss</vt:lpstr>
      <vt:lpstr>Production_Rate</vt:lpstr>
      <vt:lpstr>Revenue</vt:lpstr>
      <vt:lpstr>s_per_min</vt:lpstr>
      <vt:lpstr>s_per_yr</vt:lpstr>
      <vt:lpstr>SalvagePercent</vt:lpstr>
      <vt:lpstr>SimplePayback</vt:lpstr>
      <vt:lpstr>T_ambient</vt:lpstr>
      <vt:lpstr>Tornado!T_Data</vt:lpstr>
      <vt:lpstr>Tornado!T_input</vt:lpstr>
      <vt:lpstr>Tornado!T_Metric</vt:lpstr>
      <vt:lpstr>Tornado!T_NumberFormat</vt:lpstr>
      <vt:lpstr>Tornado!T_Order</vt:lpstr>
      <vt:lpstr>Tornado!T_Parameters</vt:lpstr>
      <vt:lpstr>T_Reactor</vt:lpstr>
      <vt:lpstr>Tornado!T_refs</vt:lpstr>
      <vt:lpstr>Tornado!T_Result</vt:lpstr>
      <vt:lpstr>Tornado!T_Table</vt:lpstr>
      <vt:lpstr>Total_Capital</vt:lpstr>
      <vt:lpstr>Utilization</vt:lpstr>
      <vt:lpstr>Working_Capital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Burk</dc:creator>
  <cp:lastModifiedBy>Chris Burk</cp:lastModifiedBy>
  <dcterms:created xsi:type="dcterms:W3CDTF">2018-01-09T23:10:12Z</dcterms:created>
  <dcterms:modified xsi:type="dcterms:W3CDTF">2018-06-07T23:10:40Z</dcterms:modified>
</cp:coreProperties>
</file>