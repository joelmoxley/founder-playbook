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1.xml" ContentType="application/vnd.ms-excel.controlproperties+xml"/>
  <Override PartName="/xl/charts/chart3.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omments3.xml" ContentType="application/vnd.openxmlformats-officedocument.spreadsheetml.comment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Beth\Documents\Techonomics Class 2018\"/>
    </mc:Choice>
  </mc:AlternateContent>
  <bookViews>
    <workbookView xWindow="0" yWindow="0" windowWidth="28800" windowHeight="13610" tabRatio="926"/>
  </bookViews>
  <sheets>
    <sheet name="Orientation" sheetId="15" r:id="rId1"/>
    <sheet name="Dashboard" sheetId="12" r:id="rId2"/>
    <sheet name="Tornado" sheetId="13" r:id="rId3"/>
    <sheet name="Process model" sheetId="2" r:id="rId4"/>
    <sheet name="Equipment sizing" sheetId="4" r:id="rId5"/>
    <sheet name="Equipment costs" sheetId="6" r:id="rId6"/>
    <sheet name="CapEx" sheetId="7" r:id="rId7"/>
    <sheet name="OpEx &amp; Rev" sheetId="8" r:id="rId8"/>
    <sheet name="Cash flow" sheetId="11" r:id="rId9"/>
    <sheet name="Constants" sheetId="5" r:id="rId10"/>
  </sheets>
  <functionGroups builtInGroupCount="18"/>
  <definedNames>
    <definedName name="Batch_rate">'Process model'!$D$92</definedName>
    <definedName name="Batches_per_year">'Process model'!$D$7</definedName>
    <definedName name="Capacity">'Process model'!$D$93</definedName>
    <definedName name="constR_m3bar_per_kmolK">0.08314432</definedName>
    <definedName name="Cost_Facilities">'OpEx &amp; Rev'!$P$65</definedName>
    <definedName name="Cost_Lab">'OpEx &amp; Rev'!$H$79</definedName>
    <definedName name="Cost_Labor">'OpEx &amp; Rev'!$P$47</definedName>
    <definedName name="Cost_RawMaterials">'OpEx &amp; Rev'!$P$39</definedName>
    <definedName name="Cost_Utilities">'OpEx &amp; Rev'!$H$49</definedName>
    <definedName name="Cost_Waste">'OpEx &amp; Rev'!$H$66</definedName>
    <definedName name="Cp_air">Constants!$E$9</definedName>
    <definedName name="Cp_GlucoseSyrup">Constants!$E$6</definedName>
    <definedName name="Cp_H2O">Constants!$E$7</definedName>
    <definedName name="DirectFixedCapital">CapEx!$F$9</definedName>
    <definedName name="DiscountedPayback">'Cash flow'!$H$8</definedName>
    <definedName name="DiscountRate">'Cash flow'!$D$7</definedName>
    <definedName name="Eq_InstallationCost">'Equipment costs'!$E$6</definedName>
    <definedName name="Eq_PurchasedCost">'Equipment costs'!$E$5</definedName>
    <definedName name="EqData">'Equipment sizing'!$E$7:$X$19</definedName>
    <definedName name="EqProperties">'Equipment sizing'!$B$7:$B$19</definedName>
    <definedName name="EqTags">'Equipment sizing'!$E$6:$X$6</definedName>
    <definedName name="Fermentation_Time">'Equipment sizing'!$E$57</definedName>
    <definedName name="Gross_product_rate">'Process model'!$N$70</definedName>
    <definedName name="Hvap_H2O">Constants!$E$8</definedName>
    <definedName name="IncomeTax">'Cash flow'!$D$6</definedName>
    <definedName name="Inoculum_ratio">'Process model'!$D$8</definedName>
    <definedName name="IRR">'Cash flow'!$H$6</definedName>
    <definedName name="kg_per_t">Constants!$K$18</definedName>
    <definedName name="kJ_per_kWh">Constants!$K$19</definedName>
    <definedName name="kPa_per_bar">Constants!$K$20</definedName>
    <definedName name="MW_air">'Process model'!$D$104</definedName>
    <definedName name="MW_N2">Constants!$E$16</definedName>
    <definedName name="MW_O2">Constants!$E$15</definedName>
    <definedName name="NPV">'Cash flow'!$H$7</definedName>
    <definedName name="OpEx">'OpEx &amp; Rev'!$E$12</definedName>
    <definedName name="PlantCapacity_kg_per_year">'Process model'!$D$94</definedName>
    <definedName name="_xlnm.Print_Area" localSheetId="2">Tornado!$A$1:$L$27</definedName>
    <definedName name="Revenue">'OpEx &amp; Rev'!$E$18</definedName>
    <definedName name="s_per_h">Constants!$K$16</definedName>
    <definedName name="s_per_min">Constants!$K$17</definedName>
    <definedName name="s_per_yr">Constants!$K$15</definedName>
    <definedName name="scm_per_kmol">Constants!$K$21</definedName>
    <definedName name="Startup_Costs">CapEx!$L$8</definedName>
    <definedName name="StreamData">'Process model'!$E$45:$V$75</definedName>
    <definedName name="StreamNumbers">'Process model'!$E$43:$V$43</definedName>
    <definedName name="StreamProperties">'Process model'!$B$45:$B$75</definedName>
    <definedName name="T_Basis">"Expected case"</definedName>
    <definedName name="T_ChilledWater_Return">Constants!$K$10</definedName>
    <definedName name="T_ChilledWater_Supply">Constants!$K$9</definedName>
    <definedName name="T_CW_return">Constants!$K$7</definedName>
    <definedName name="T_CW_supply">Constants!$K$6</definedName>
    <definedName name="T_Data" localSheetId="2">Tornado!$I$66:$J$75</definedName>
    <definedName name="T_input" localSheetId="2">Tornado!$I$5:$K$14</definedName>
    <definedName name="T_Metric" localSheetId="2">Tornado!$H$64</definedName>
    <definedName name="T_NumberFormat" localSheetId="2">Tornado!$I$61</definedName>
    <definedName name="T_Order" localSheetId="2">Tornado!$I$64</definedName>
    <definedName name="T_Parameters" localSheetId="2">Tornado!$H$5:$H$14</definedName>
    <definedName name="T_refs" localSheetId="2">Tornado!$M$5:$M$14</definedName>
    <definedName name="T_Result" localSheetId="2">Tornado!$J$64</definedName>
    <definedName name="T_steam">Constants!$K$8</definedName>
    <definedName name="T_Table" localSheetId="2">Tornado!$H$66:$J$75</definedName>
    <definedName name="tolerance">0.0001</definedName>
    <definedName name="TotalCapitalInvestment">CapEx!$L$9</definedName>
    <definedName name="Working_Capital">CapEx!$L$7</definedName>
  </definedNames>
  <calcPr calcId="162913"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40" i="4" l="1"/>
  <c r="E238" i="4"/>
  <c r="E229" i="4"/>
  <c r="M225" i="4"/>
  <c r="N225" i="4"/>
  <c r="O225" i="4"/>
  <c r="L225" i="4"/>
  <c r="O221" i="4"/>
  <c r="N221" i="4"/>
  <c r="M221" i="4"/>
  <c r="L221" i="4"/>
  <c r="E220" i="4"/>
  <c r="E153" i="4"/>
  <c r="Q95" i="4"/>
  <c r="P95" i="4"/>
  <c r="O95" i="4"/>
  <c r="N95" i="4"/>
  <c r="M95" i="4"/>
  <c r="L95" i="4"/>
  <c r="D104" i="2"/>
  <c r="D105" i="2"/>
  <c r="L38" i="8"/>
  <c r="L36" i="8"/>
  <c r="L35" i="8"/>
  <c r="L34" i="8"/>
  <c r="L31" i="8"/>
  <c r="L30" i="8"/>
  <c r="D29" i="8"/>
  <c r="M14" i="13"/>
  <c r="M13" i="13"/>
  <c r="M12" i="13"/>
  <c r="M11" i="13"/>
  <c r="M10" i="13"/>
  <c r="M9" i="13"/>
  <c r="M8" i="13"/>
  <c r="M7" i="13"/>
  <c r="M6" i="13"/>
  <c r="M5" i="13"/>
  <c r="H64" i="13"/>
  <c r="I64" i="13"/>
  <c r="I59" i="13"/>
  <c r="I61" i="13"/>
  <c r="E77" i="4"/>
  <c r="E57" i="4"/>
  <c r="D102" i="2"/>
  <c r="D103" i="2"/>
  <c r="D13" i="2"/>
  <c r="D106" i="2"/>
  <c r="D12" i="2"/>
  <c r="D8" i="2"/>
  <c r="D7" i="2"/>
  <c r="D92" i="2"/>
  <c r="D6" i="2"/>
  <c r="D93" i="2"/>
  <c r="D94" i="2"/>
  <c r="D23" i="2"/>
  <c r="L61" i="8"/>
  <c r="D45" i="8"/>
  <c r="L45" i="8"/>
  <c r="E32" i="11"/>
  <c r="F32" i="11"/>
  <c r="H17" i="11"/>
  <c r="I17" i="11"/>
  <c r="J17" i="11"/>
  <c r="K17" i="11"/>
  <c r="L17" i="11"/>
  <c r="M17" i="11"/>
  <c r="N17" i="11"/>
  <c r="O17" i="11"/>
  <c r="P17" i="11"/>
  <c r="Q17" i="11"/>
  <c r="R17" i="11"/>
  <c r="H78" i="8"/>
  <c r="H77" i="8"/>
  <c r="H79" i="8"/>
  <c r="E11" i="8"/>
  <c r="M83" i="4"/>
  <c r="N83" i="4"/>
  <c r="O83" i="4"/>
  <c r="P83" i="4"/>
  <c r="Q83" i="4"/>
  <c r="O46" i="8"/>
  <c r="E184" i="4"/>
  <c r="E112" i="4"/>
  <c r="E114" i="4"/>
  <c r="E83" i="4"/>
  <c r="E13" i="4"/>
  <c r="M257" i="4"/>
  <c r="L257" i="4"/>
  <c r="F257" i="4"/>
  <c r="E257" i="4"/>
  <c r="O203" i="4"/>
  <c r="N203" i="4"/>
  <c r="M203" i="4"/>
  <c r="L203" i="4"/>
  <c r="E203" i="4"/>
  <c r="R129" i="4"/>
  <c r="L130" i="4"/>
  <c r="E130" i="4"/>
  <c r="L94" i="4"/>
  <c r="M94" i="4"/>
  <c r="N94" i="4"/>
  <c r="O94" i="4"/>
  <c r="P94" i="4"/>
  <c r="Q94" i="4"/>
  <c r="E94" i="4"/>
  <c r="E95" i="4"/>
  <c r="S58" i="4"/>
  <c r="S59" i="4"/>
  <c r="Q58" i="4"/>
  <c r="Q59" i="4"/>
  <c r="W63" i="4"/>
  <c r="V63" i="4"/>
  <c r="U63" i="4"/>
  <c r="T63" i="4"/>
  <c r="S63" i="4"/>
  <c r="R63" i="4"/>
  <c r="Q63" i="4"/>
  <c r="P63" i="4"/>
  <c r="O63" i="4"/>
  <c r="N63" i="4"/>
  <c r="M63" i="4"/>
  <c r="L63" i="4"/>
  <c r="K63" i="4"/>
  <c r="J63" i="4"/>
  <c r="I63" i="4"/>
  <c r="H63" i="4"/>
  <c r="G63" i="4"/>
  <c r="F63" i="4"/>
  <c r="E63" i="4"/>
  <c r="F59" i="4"/>
  <c r="G59" i="4"/>
  <c r="H59" i="4"/>
  <c r="I59" i="4"/>
  <c r="J59" i="4"/>
  <c r="K59" i="4"/>
  <c r="L59" i="4"/>
  <c r="M59" i="4"/>
  <c r="N59" i="4"/>
  <c r="O59" i="4"/>
  <c r="P59" i="4"/>
  <c r="R59" i="4"/>
  <c r="T59" i="4"/>
  <c r="U59" i="4"/>
  <c r="V59" i="4"/>
  <c r="W59" i="4"/>
  <c r="E59" i="4"/>
  <c r="V65" i="4"/>
  <c r="V18" i="4"/>
  <c r="S65" i="4"/>
  <c r="S18" i="4"/>
  <c r="W65" i="4"/>
  <c r="W18" i="4"/>
  <c r="P46" i="8"/>
  <c r="G65" i="4"/>
  <c r="G18" i="4"/>
  <c r="O65" i="4"/>
  <c r="O18" i="4"/>
  <c r="N65" i="4"/>
  <c r="N18" i="4"/>
  <c r="J65" i="4"/>
  <c r="J18" i="4"/>
  <c r="F65" i="4"/>
  <c r="F18" i="4"/>
  <c r="H65" i="4"/>
  <c r="H18" i="4"/>
  <c r="L65" i="4"/>
  <c r="L18" i="4"/>
  <c r="P65" i="4"/>
  <c r="P18" i="4"/>
  <c r="T65" i="4"/>
  <c r="T18" i="4"/>
  <c r="K65" i="4"/>
  <c r="K18" i="4"/>
  <c r="R65" i="4"/>
  <c r="R18" i="4"/>
  <c r="E65" i="4"/>
  <c r="E18" i="4"/>
  <c r="I65" i="4"/>
  <c r="I18" i="4"/>
  <c r="M65" i="4"/>
  <c r="M18" i="4"/>
  <c r="U65" i="4"/>
  <c r="U18" i="4"/>
  <c r="Q65" i="4"/>
  <c r="Q18" i="4"/>
  <c r="X18" i="4"/>
  <c r="U6" i="4"/>
  <c r="U56" i="4"/>
  <c r="W6" i="4"/>
  <c r="W56" i="4"/>
  <c r="V6" i="4"/>
  <c r="V56" i="4"/>
  <c r="T6" i="4"/>
  <c r="T56" i="4"/>
  <c r="Q6" i="4"/>
  <c r="Q56" i="4"/>
  <c r="R6" i="4"/>
  <c r="R56" i="4"/>
  <c r="S6" i="4"/>
  <c r="S56" i="4"/>
  <c r="P6" i="4"/>
  <c r="P56" i="4"/>
  <c r="O6" i="4"/>
  <c r="O56" i="4"/>
  <c r="N6" i="4"/>
  <c r="N56" i="4"/>
  <c r="M6" i="4"/>
  <c r="M56" i="4"/>
  <c r="L6" i="4"/>
  <c r="L56" i="4"/>
  <c r="F6" i="4"/>
  <c r="F56" i="4"/>
  <c r="G6" i="4"/>
  <c r="G56" i="4"/>
  <c r="H6" i="4"/>
  <c r="H56" i="4"/>
  <c r="I6" i="4"/>
  <c r="I56" i="4"/>
  <c r="J6" i="4"/>
  <c r="J56" i="4"/>
  <c r="K6" i="4"/>
  <c r="K56" i="4"/>
  <c r="E6" i="4"/>
  <c r="M82" i="4"/>
  <c r="N82" i="4"/>
  <c r="O82" i="4"/>
  <c r="P82" i="4"/>
  <c r="Q82" i="4"/>
  <c r="J13" i="6"/>
  <c r="R14" i="6"/>
  <c r="S13" i="6"/>
  <c r="G13" i="6"/>
  <c r="O14" i="6"/>
  <c r="M13" i="6"/>
  <c r="T14" i="6"/>
  <c r="K13" i="6"/>
  <c r="O13" i="6"/>
  <c r="V13" i="6"/>
  <c r="U13" i="6"/>
  <c r="N45" i="8"/>
  <c r="Q14" i="6"/>
  <c r="L14" i="6"/>
  <c r="N14" i="6"/>
  <c r="I14" i="6"/>
  <c r="V14" i="6"/>
  <c r="U14" i="6"/>
  <c r="F13" i="6"/>
  <c r="M14" i="6"/>
  <c r="F14" i="6"/>
  <c r="E14" i="6"/>
  <c r="K14" i="6"/>
  <c r="T13" i="6"/>
  <c r="D13" i="6"/>
  <c r="R13" i="6"/>
  <c r="E13" i="6"/>
  <c r="P13" i="6"/>
  <c r="J14" i="6"/>
  <c r="I13" i="6"/>
  <c r="N13" i="6"/>
  <c r="S14" i="6"/>
  <c r="N47" i="8"/>
  <c r="O45" i="8"/>
  <c r="P45" i="8"/>
  <c r="P47" i="8"/>
  <c r="E8" i="8"/>
  <c r="E56" i="4"/>
  <c r="E227" i="4"/>
  <c r="E228" i="4"/>
  <c r="E239" i="4"/>
  <c r="Q13" i="6"/>
  <c r="P14" i="6"/>
  <c r="H13" i="6"/>
  <c r="G14" i="6"/>
  <c r="D14" i="6"/>
  <c r="L13" i="6"/>
  <c r="H14" i="6"/>
  <c r="O47" i="8"/>
  <c r="F293" i="4"/>
  <c r="E293" i="4"/>
  <c r="F287" i="4"/>
  <c r="F282" i="4"/>
  <c r="F286" i="4"/>
  <c r="E287" i="4"/>
  <c r="E282" i="4"/>
  <c r="E286" i="4"/>
  <c r="F281" i="4"/>
  <c r="F292" i="4"/>
  <c r="E281" i="4"/>
  <c r="E292" i="4"/>
  <c r="D115" i="2"/>
  <c r="D113" i="2"/>
  <c r="D96" i="2"/>
  <c r="Z113" i="2"/>
  <c r="J51" i="2"/>
  <c r="K51" i="2"/>
  <c r="S108" i="2"/>
  <c r="Z108" i="2"/>
  <c r="S109" i="2"/>
  <c r="Z109" i="2"/>
  <c r="S110" i="2"/>
  <c r="Z110" i="2"/>
  <c r="D95" i="2"/>
  <c r="V71" i="2"/>
  <c r="J93" i="2"/>
  <c r="J94" i="2"/>
  <c r="J95" i="2"/>
  <c r="J96" i="2"/>
  <c r="J97" i="2"/>
  <c r="J98" i="2"/>
  <c r="J99" i="2"/>
  <c r="J100" i="2"/>
  <c r="J92" i="2"/>
  <c r="F29" i="8"/>
  <c r="O6" i="2"/>
  <c r="P6" i="2"/>
  <c r="G29" i="8"/>
  <c r="H29" i="8"/>
  <c r="H31" i="8"/>
  <c r="E16" i="8"/>
  <c r="E18" i="8"/>
  <c r="S71" i="2"/>
  <c r="V67" i="2"/>
  <c r="K18" i="12"/>
  <c r="G28" i="11"/>
  <c r="H28" i="11"/>
  <c r="L28" i="11"/>
  <c r="P28" i="11"/>
  <c r="O28" i="11"/>
  <c r="I28" i="11"/>
  <c r="M28" i="11"/>
  <c r="Q28" i="11"/>
  <c r="J28" i="11"/>
  <c r="N28" i="11"/>
  <c r="R28" i="11"/>
  <c r="K28" i="11"/>
  <c r="S28" i="11"/>
  <c r="P71" i="2"/>
  <c r="N70" i="2"/>
  <c r="L70" i="2"/>
  <c r="M70" i="2"/>
  <c r="H70" i="2"/>
  <c r="K19" i="12"/>
  <c r="S106" i="2"/>
  <c r="P70" i="2"/>
  <c r="O103" i="2"/>
  <c r="Y106" i="2"/>
  <c r="W106" i="2"/>
  <c r="Q71" i="2"/>
  <c r="X106" i="2"/>
  <c r="Z106" i="2"/>
  <c r="O97" i="2"/>
  <c r="O99" i="2"/>
  <c r="O95" i="2"/>
  <c r="O100" i="2"/>
  <c r="O94" i="2"/>
  <c r="O106" i="2"/>
  <c r="O107" i="2"/>
  <c r="O93" i="2"/>
  <c r="O104" i="2"/>
  <c r="O98" i="2"/>
  <c r="O110" i="2"/>
  <c r="O96" i="2"/>
  <c r="O102" i="2"/>
  <c r="N69" i="2"/>
  <c r="L69" i="2"/>
  <c r="M69" i="2"/>
  <c r="H69" i="2"/>
  <c r="O92" i="2"/>
  <c r="D97" i="2"/>
  <c r="O108" i="2"/>
  <c r="K75" i="2"/>
  <c r="S105" i="2"/>
  <c r="I59" i="2"/>
  <c r="L59" i="2"/>
  <c r="M59" i="2"/>
  <c r="H59" i="2"/>
  <c r="P69" i="2"/>
  <c r="Y105" i="2"/>
  <c r="X105" i="2"/>
  <c r="W105" i="2"/>
  <c r="Q70" i="2"/>
  <c r="I70" i="2"/>
  <c r="Z105" i="2"/>
  <c r="R70" i="2"/>
  <c r="S104" i="2"/>
  <c r="Y104" i="2"/>
  <c r="W104" i="2"/>
  <c r="Q69" i="2"/>
  <c r="X104" i="2"/>
  <c r="S69" i="2"/>
  <c r="Z104" i="2"/>
  <c r="V69" i="2"/>
  <c r="O7" i="2"/>
  <c r="P7" i="2"/>
  <c r="G59" i="2"/>
  <c r="I7" i="2"/>
  <c r="J7" i="2"/>
  <c r="G57" i="2"/>
  <c r="F59" i="2"/>
  <c r="G66" i="2"/>
  <c r="G63" i="2"/>
  <c r="G64" i="2"/>
  <c r="G61" i="2"/>
  <c r="G62" i="2"/>
  <c r="G67" i="2"/>
  <c r="G60" i="2"/>
  <c r="G65" i="2"/>
  <c r="N59" i="2"/>
  <c r="I15" i="2"/>
  <c r="I13" i="2"/>
  <c r="I8" i="2"/>
  <c r="I11" i="2"/>
  <c r="I9" i="2"/>
  <c r="I14" i="2"/>
  <c r="N36" i="8"/>
  <c r="J11" i="2"/>
  <c r="J14" i="2"/>
  <c r="J13" i="2"/>
  <c r="J9" i="2"/>
  <c r="J8" i="2"/>
  <c r="O36" i="8"/>
  <c r="P36" i="8"/>
  <c r="N57" i="2"/>
  <c r="O57" i="2"/>
  <c r="G56" i="2"/>
  <c r="G53" i="2"/>
  <c r="E60" i="2"/>
  <c r="N60" i="2"/>
  <c r="F64" i="2"/>
  <c r="N64" i="2"/>
  <c r="O59" i="2"/>
  <c r="P59" i="2"/>
  <c r="F67" i="2"/>
  <c r="N67" i="2"/>
  <c r="F63" i="2"/>
  <c r="N63" i="2"/>
  <c r="N62" i="2"/>
  <c r="F62" i="2"/>
  <c r="F66" i="2"/>
  <c r="N66" i="2"/>
  <c r="F65" i="2"/>
  <c r="N65" i="2"/>
  <c r="F61" i="2"/>
  <c r="N61" i="2"/>
  <c r="N34" i="8"/>
  <c r="I6" i="2"/>
  <c r="N33" i="8"/>
  <c r="I10" i="2"/>
  <c r="N31" i="8"/>
  <c r="N38" i="8"/>
  <c r="N35" i="8"/>
  <c r="I12" i="2"/>
  <c r="N32" i="8"/>
  <c r="N30" i="8"/>
  <c r="J6" i="2"/>
  <c r="J10" i="2"/>
  <c r="J15" i="2"/>
  <c r="J12" i="2"/>
  <c r="L57" i="2"/>
  <c r="M57" i="2"/>
  <c r="H57" i="2"/>
  <c r="O35" i="8"/>
  <c r="P35" i="8"/>
  <c r="O32" i="8"/>
  <c r="P32" i="8"/>
  <c r="O34" i="8"/>
  <c r="P34" i="8"/>
  <c r="O38" i="8"/>
  <c r="P38" i="8"/>
  <c r="O30" i="8"/>
  <c r="P30" i="8"/>
  <c r="O33" i="8"/>
  <c r="P33" i="8"/>
  <c r="O31" i="8"/>
  <c r="P31" i="8"/>
  <c r="E56" i="2"/>
  <c r="E57" i="2"/>
  <c r="N56" i="2"/>
  <c r="P57" i="2"/>
  <c r="S112" i="2"/>
  <c r="O56" i="2"/>
  <c r="O53" i="2"/>
  <c r="L65" i="2"/>
  <c r="M65" i="2"/>
  <c r="H65" i="2"/>
  <c r="P65" i="2"/>
  <c r="S94" i="2"/>
  <c r="L60" i="2"/>
  <c r="M60" i="2"/>
  <c r="H60" i="2"/>
  <c r="P60" i="2"/>
  <c r="L66" i="2"/>
  <c r="M66" i="2"/>
  <c r="H66" i="2"/>
  <c r="P66" i="2"/>
  <c r="L63" i="2"/>
  <c r="M63" i="2"/>
  <c r="H63" i="2"/>
  <c r="P63" i="2"/>
  <c r="L64" i="2"/>
  <c r="M64" i="2"/>
  <c r="H64" i="2"/>
  <c r="P64" i="2"/>
  <c r="L61" i="2"/>
  <c r="P61" i="2"/>
  <c r="L62" i="2"/>
  <c r="M62" i="2"/>
  <c r="H62" i="2"/>
  <c r="P62" i="2"/>
  <c r="L67" i="2"/>
  <c r="M67" i="2"/>
  <c r="H67" i="2"/>
  <c r="P67" i="2"/>
  <c r="F64" i="8"/>
  <c r="E159" i="4"/>
  <c r="E165" i="4"/>
  <c r="I28" i="2"/>
  <c r="E274" i="4"/>
  <c r="L102" i="4"/>
  <c r="O21" i="2"/>
  <c r="K27" i="12"/>
  <c r="J28" i="2"/>
  <c r="G64" i="8"/>
  <c r="H64" i="8"/>
  <c r="L105" i="4"/>
  <c r="E283" i="4"/>
  <c r="E294" i="4"/>
  <c r="E295" i="4"/>
  <c r="E270" i="4"/>
  <c r="T14" i="4"/>
  <c r="E288" i="4"/>
  <c r="E289" i="4"/>
  <c r="E269" i="4"/>
  <c r="T13" i="4"/>
  <c r="E53" i="2"/>
  <c r="E166" i="4"/>
  <c r="E162" i="4"/>
  <c r="N53" i="2"/>
  <c r="P56" i="2"/>
  <c r="L56" i="2"/>
  <c r="L53" i="2"/>
  <c r="M61" i="2"/>
  <c r="H61" i="2"/>
  <c r="H56" i="2"/>
  <c r="H53" i="2"/>
  <c r="S102" i="2"/>
  <c r="R67" i="2"/>
  <c r="F57" i="2"/>
  <c r="F56" i="2"/>
  <c r="W112" i="2"/>
  <c r="Y112" i="2"/>
  <c r="X112" i="2"/>
  <c r="S57" i="2"/>
  <c r="D114" i="2"/>
  <c r="D116" i="2"/>
  <c r="S99" i="2"/>
  <c r="S98" i="2"/>
  <c r="S95" i="2"/>
  <c r="S96" i="2"/>
  <c r="Y94" i="2"/>
  <c r="X94" i="2"/>
  <c r="W94" i="2"/>
  <c r="Q59" i="2"/>
  <c r="S100" i="2"/>
  <c r="I57" i="2"/>
  <c r="S97" i="2"/>
  <c r="S101" i="2"/>
  <c r="L220" i="4"/>
  <c r="E275" i="4"/>
  <c r="L88" i="4"/>
  <c r="N220" i="4"/>
  <c r="E144" i="4"/>
  <c r="E276" i="4"/>
  <c r="E277" i="4"/>
  <c r="L222" i="4"/>
  <c r="L97" i="4"/>
  <c r="L99" i="4"/>
  <c r="L89" i="4"/>
  <c r="O220" i="4"/>
  <c r="E175" i="4"/>
  <c r="O88" i="4"/>
  <c r="F274" i="4"/>
  <c r="E278" i="4"/>
  <c r="E267" i="4"/>
  <c r="T10" i="4"/>
  <c r="L90" i="4"/>
  <c r="E145" i="4"/>
  <c r="E146" i="4"/>
  <c r="E154" i="4"/>
  <c r="O89" i="4"/>
  <c r="E168" i="4"/>
  <c r="E170" i="4"/>
  <c r="E178" i="4"/>
  <c r="E179" i="4"/>
  <c r="P53" i="2"/>
  <c r="L226" i="4"/>
  <c r="L227" i="4"/>
  <c r="F294" i="4"/>
  <c r="F295" i="4"/>
  <c r="F270" i="4"/>
  <c r="U14" i="4"/>
  <c r="F288" i="4"/>
  <c r="F289" i="4"/>
  <c r="F269" i="4"/>
  <c r="U13" i="4"/>
  <c r="F283" i="4"/>
  <c r="O222" i="4"/>
  <c r="N222" i="4"/>
  <c r="F53" i="2"/>
  <c r="G77" i="2"/>
  <c r="P77" i="2"/>
  <c r="M56" i="2"/>
  <c r="Z112" i="2"/>
  <c r="Z94" i="2"/>
  <c r="X96" i="2"/>
  <c r="Y96" i="2"/>
  <c r="W96" i="2"/>
  <c r="Q61" i="2"/>
  <c r="W95" i="2"/>
  <c r="Y95" i="2"/>
  <c r="X95" i="2"/>
  <c r="S60" i="2"/>
  <c r="R57" i="2"/>
  <c r="W102" i="2"/>
  <c r="Y102" i="2"/>
  <c r="X102" i="2"/>
  <c r="W101" i="2"/>
  <c r="Y101" i="2"/>
  <c r="X101" i="2"/>
  <c r="S66" i="2"/>
  <c r="R59" i="2"/>
  <c r="Y99" i="2"/>
  <c r="X99" i="2"/>
  <c r="W99" i="2"/>
  <c r="Q64" i="2"/>
  <c r="Y97" i="2"/>
  <c r="X97" i="2"/>
  <c r="W97" i="2"/>
  <c r="Q62" i="2"/>
  <c r="W100" i="2"/>
  <c r="Y100" i="2"/>
  <c r="X100" i="2"/>
  <c r="S65" i="2"/>
  <c r="Y98" i="2"/>
  <c r="X98" i="2"/>
  <c r="W98" i="2"/>
  <c r="Q63" i="2"/>
  <c r="M220" i="4"/>
  <c r="S15" i="6"/>
  <c r="E266" i="4"/>
  <c r="T9" i="4"/>
  <c r="L229" i="4"/>
  <c r="L91" i="4"/>
  <c r="L80" i="4"/>
  <c r="F9" i="4"/>
  <c r="L81" i="4"/>
  <c r="F10" i="4"/>
  <c r="O90" i="4"/>
  <c r="E15" i="6"/>
  <c r="F275" i="4"/>
  <c r="M88" i="4"/>
  <c r="N88" i="4"/>
  <c r="S16" i="6"/>
  <c r="L144" i="4"/>
  <c r="N89" i="4"/>
  <c r="E16" i="6"/>
  <c r="L230" i="4"/>
  <c r="L212" i="4"/>
  <c r="L213" i="4"/>
  <c r="P10" i="4"/>
  <c r="L145" i="4"/>
  <c r="O91" i="4"/>
  <c r="O80" i="4"/>
  <c r="I9" i="4"/>
  <c r="O81" i="4"/>
  <c r="I10" i="4"/>
  <c r="N90" i="4"/>
  <c r="S23" i="6"/>
  <c r="S30" i="6"/>
  <c r="S33" i="6"/>
  <c r="E23" i="6"/>
  <c r="E30" i="6"/>
  <c r="E33" i="6"/>
  <c r="F276" i="4"/>
  <c r="L150" i="4"/>
  <c r="L151" i="4"/>
  <c r="E155" i="4"/>
  <c r="E156" i="4"/>
  <c r="M89" i="4"/>
  <c r="E169" i="4"/>
  <c r="E180" i="4"/>
  <c r="E141" i="4"/>
  <c r="L15" i="4"/>
  <c r="L98" i="4"/>
  <c r="L106" i="4"/>
  <c r="L108" i="4"/>
  <c r="L83" i="4"/>
  <c r="L82" i="4"/>
  <c r="F12" i="4"/>
  <c r="E139" i="4"/>
  <c r="L13" i="4"/>
  <c r="E171" i="4"/>
  <c r="L228" i="4"/>
  <c r="M222" i="4"/>
  <c r="M226" i="4"/>
  <c r="M227" i="4"/>
  <c r="N226" i="4"/>
  <c r="N227" i="4"/>
  <c r="O226" i="4"/>
  <c r="O227" i="4"/>
  <c r="N77" i="2"/>
  <c r="M53" i="2"/>
  <c r="Q56" i="2"/>
  <c r="S56" i="2"/>
  <c r="Z97" i="2"/>
  <c r="Z101" i="2"/>
  <c r="Z98" i="2"/>
  <c r="Z100" i="2"/>
  <c r="Z102" i="2"/>
  <c r="I64" i="2"/>
  <c r="R64" i="2"/>
  <c r="T56" i="2"/>
  <c r="T53" i="2"/>
  <c r="U57" i="2"/>
  <c r="Z95" i="2"/>
  <c r="I67" i="2"/>
  <c r="I63" i="2"/>
  <c r="R61" i="2"/>
  <c r="I62" i="2"/>
  <c r="R63" i="2"/>
  <c r="V65" i="2"/>
  <c r="R65" i="2"/>
  <c r="I61" i="2"/>
  <c r="I66" i="2"/>
  <c r="V60" i="2"/>
  <c r="R60" i="2"/>
  <c r="R62" i="2"/>
  <c r="I69" i="2"/>
  <c r="I60" i="2"/>
  <c r="I65" i="2"/>
  <c r="Z99" i="2"/>
  <c r="V66" i="2"/>
  <c r="R66" i="2"/>
  <c r="Z96" i="2"/>
  <c r="H16" i="6"/>
  <c r="O11" i="2"/>
  <c r="F62" i="8"/>
  <c r="O10" i="2"/>
  <c r="R163" i="4"/>
  <c r="R169" i="4"/>
  <c r="I21" i="2"/>
  <c r="O15" i="6"/>
  <c r="P88" i="4"/>
  <c r="R156" i="4"/>
  <c r="H15" i="6"/>
  <c r="O9" i="2"/>
  <c r="P89" i="4"/>
  <c r="P90" i="4"/>
  <c r="P81" i="4"/>
  <c r="J10" i="4"/>
  <c r="P9" i="2"/>
  <c r="P10" i="2"/>
  <c r="P11" i="2"/>
  <c r="J21" i="2"/>
  <c r="G62" i="8"/>
  <c r="H62" i="8"/>
  <c r="Q53" i="2"/>
  <c r="L109" i="4"/>
  <c r="H23" i="6"/>
  <c r="H30" i="6"/>
  <c r="H33" i="6"/>
  <c r="H37" i="6"/>
  <c r="F277" i="4"/>
  <c r="N229" i="4"/>
  <c r="O229" i="4"/>
  <c r="M229" i="4"/>
  <c r="L214" i="4"/>
  <c r="P12" i="4"/>
  <c r="L146" i="4"/>
  <c r="N91" i="4"/>
  <c r="N80" i="4"/>
  <c r="H9" i="4"/>
  <c r="N81" i="4"/>
  <c r="H10" i="4"/>
  <c r="M90" i="4"/>
  <c r="E37" i="6"/>
  <c r="S37" i="6"/>
  <c r="N228" i="4"/>
  <c r="O228" i="4"/>
  <c r="R152" i="4"/>
  <c r="R138" i="4"/>
  <c r="N12" i="4"/>
  <c r="E147" i="4"/>
  <c r="E138" i="4"/>
  <c r="L12" i="4"/>
  <c r="R165" i="4"/>
  <c r="R170" i="4"/>
  <c r="R145" i="4"/>
  <c r="R146" i="4"/>
  <c r="R159" i="4"/>
  <c r="F13" i="4"/>
  <c r="S53" i="2"/>
  <c r="P9" i="4"/>
  <c r="M228" i="4"/>
  <c r="R56" i="2"/>
  <c r="T74" i="2"/>
  <c r="T73" i="2"/>
  <c r="U73" i="2"/>
  <c r="V57" i="2"/>
  <c r="I56" i="2"/>
  <c r="E102" i="4"/>
  <c r="G16" i="6"/>
  <c r="O16" i="6"/>
  <c r="G15" i="6"/>
  <c r="I15" i="6"/>
  <c r="F61" i="8"/>
  <c r="O8" i="2"/>
  <c r="I22" i="2"/>
  <c r="N6" i="2"/>
  <c r="J22" i="2"/>
  <c r="P8" i="2"/>
  <c r="P12" i="2"/>
  <c r="O12" i="2"/>
  <c r="N8" i="2"/>
  <c r="N7" i="2"/>
  <c r="N11" i="2"/>
  <c r="N9" i="2"/>
  <c r="N10" i="2"/>
  <c r="V56" i="2"/>
  <c r="V53" i="2"/>
  <c r="G61" i="8"/>
  <c r="H61" i="8"/>
  <c r="G23" i="6"/>
  <c r="G30" i="6"/>
  <c r="G33" i="6"/>
  <c r="G37" i="6"/>
  <c r="F278" i="4"/>
  <c r="F267" i="4"/>
  <c r="U10" i="4"/>
  <c r="M230" i="4"/>
  <c r="M212" i="4"/>
  <c r="M213" i="4"/>
  <c r="Q10" i="4"/>
  <c r="O230" i="4"/>
  <c r="O212" i="4"/>
  <c r="O213" i="4"/>
  <c r="S10" i="4"/>
  <c r="N230" i="4"/>
  <c r="N212" i="4"/>
  <c r="R9" i="4"/>
  <c r="N213" i="4"/>
  <c r="R10" i="4"/>
  <c r="N214" i="4"/>
  <c r="R12" i="4"/>
  <c r="O214" i="4"/>
  <c r="S12" i="4"/>
  <c r="M214" i="4"/>
  <c r="R147" i="4"/>
  <c r="L147" i="4"/>
  <c r="L136" i="4"/>
  <c r="L137" i="4"/>
  <c r="M10" i="4"/>
  <c r="E148" i="4"/>
  <c r="M91" i="4"/>
  <c r="M80" i="4"/>
  <c r="G9" i="4"/>
  <c r="M81" i="4"/>
  <c r="G10" i="4"/>
  <c r="P91" i="4"/>
  <c r="P80" i="4"/>
  <c r="J9" i="4"/>
  <c r="F16" i="6"/>
  <c r="L15" i="6"/>
  <c r="Q15" i="6"/>
  <c r="R15" i="6"/>
  <c r="I16" i="6"/>
  <c r="T15" i="6"/>
  <c r="Q16" i="6"/>
  <c r="P15" i="6"/>
  <c r="F15" i="6"/>
  <c r="N12" i="2"/>
  <c r="F266" i="4"/>
  <c r="U9" i="4"/>
  <c r="I23" i="6"/>
  <c r="I30" i="6"/>
  <c r="I33" i="6"/>
  <c r="I37" i="6"/>
  <c r="F23" i="6"/>
  <c r="F30" i="6"/>
  <c r="F33" i="6"/>
  <c r="F37" i="6"/>
  <c r="R148" i="4"/>
  <c r="R136" i="4"/>
  <c r="N9" i="4"/>
  <c r="R137" i="4"/>
  <c r="N10" i="4"/>
  <c r="E149" i="4"/>
  <c r="E137" i="4"/>
  <c r="L10" i="4"/>
  <c r="O23" i="6"/>
  <c r="O30" i="6"/>
  <c r="O33" i="6"/>
  <c r="S9" i="4"/>
  <c r="M9" i="4"/>
  <c r="E105" i="4"/>
  <c r="L138" i="4"/>
  <c r="M12" i="4"/>
  <c r="L152" i="4"/>
  <c r="R173" i="4"/>
  <c r="R174" i="4"/>
  <c r="Q12" i="4"/>
  <c r="Q9" i="4"/>
  <c r="S77" i="2"/>
  <c r="R53" i="2"/>
  <c r="I53" i="2"/>
  <c r="I77" i="2"/>
  <c r="U74" i="2"/>
  <c r="U56" i="2"/>
  <c r="U53" i="2"/>
  <c r="L16" i="6"/>
  <c r="M15" i="6"/>
  <c r="P16" i="6"/>
  <c r="T16" i="6"/>
  <c r="F65" i="8"/>
  <c r="E88" i="4"/>
  <c r="M16" i="6"/>
  <c r="I29" i="2"/>
  <c r="K15" i="6"/>
  <c r="R16" i="6"/>
  <c r="Q88" i="4"/>
  <c r="J29" i="2"/>
  <c r="G65" i="8"/>
  <c r="H65" i="8"/>
  <c r="V77" i="2"/>
  <c r="T23" i="6"/>
  <c r="T30" i="6"/>
  <c r="T33" i="6"/>
  <c r="E136" i="4"/>
  <c r="Q89" i="4"/>
  <c r="L9" i="4"/>
  <c r="E185" i="4"/>
  <c r="E187" i="4"/>
  <c r="E188" i="4"/>
  <c r="E189" i="4"/>
  <c r="E190" i="4"/>
  <c r="E191" i="4"/>
  <c r="L16" i="4"/>
  <c r="X16" i="4"/>
  <c r="Q90" i="4"/>
  <c r="Q23" i="6"/>
  <c r="Q30" i="6"/>
  <c r="Q33" i="6"/>
  <c r="N37" i="8"/>
  <c r="K16" i="6"/>
  <c r="O37" i="8"/>
  <c r="P37" i="8"/>
  <c r="Q91" i="4"/>
  <c r="Q80" i="4"/>
  <c r="K9" i="4"/>
  <c r="Q81" i="4"/>
  <c r="K10" i="4"/>
  <c r="O37" i="6"/>
  <c r="T37" i="6"/>
  <c r="J56" i="6"/>
  <c r="Q37" i="6"/>
  <c r="P23" i="6"/>
  <c r="P30" i="6"/>
  <c r="P33" i="6"/>
  <c r="M23" i="6"/>
  <c r="M30" i="6"/>
  <c r="M33" i="6"/>
  <c r="K23" i="6"/>
  <c r="K30" i="6"/>
  <c r="K33" i="6"/>
  <c r="R23" i="6"/>
  <c r="R30" i="6"/>
  <c r="R33" i="6"/>
  <c r="E97" i="4"/>
  <c r="E99" i="4"/>
  <c r="E89" i="4"/>
  <c r="R175" i="4"/>
  <c r="R139" i="4"/>
  <c r="N13" i="4"/>
  <c r="X13" i="4"/>
  <c r="D101" i="2"/>
  <c r="D107" i="2"/>
  <c r="D108" i="2"/>
  <c r="D109" i="2"/>
  <c r="D110" i="2"/>
  <c r="F46" i="8"/>
  <c r="J16" i="6"/>
  <c r="J15" i="6"/>
  <c r="G46" i="8"/>
  <c r="H46" i="8"/>
  <c r="J23" i="6"/>
  <c r="J30" i="6"/>
  <c r="J33" i="6"/>
  <c r="J37" i="6"/>
  <c r="J53" i="6"/>
  <c r="E90" i="4"/>
  <c r="M37" i="6"/>
  <c r="K37" i="6"/>
  <c r="R37" i="6"/>
  <c r="P37" i="6"/>
  <c r="L23" i="6"/>
  <c r="L30" i="6"/>
  <c r="L33" i="6"/>
  <c r="E82" i="4"/>
  <c r="E12" i="4"/>
  <c r="E98" i="4"/>
  <c r="E106" i="4"/>
  <c r="E108" i="4"/>
  <c r="E109" i="4"/>
  <c r="E85" i="4"/>
  <c r="E15" i="4"/>
  <c r="X15" i="4"/>
  <c r="E91" i="4"/>
  <c r="E80" i="4"/>
  <c r="E9" i="4"/>
  <c r="E81" i="4"/>
  <c r="E10" i="4"/>
  <c r="L37" i="6"/>
  <c r="J54" i="6"/>
  <c r="J56" i="2"/>
  <c r="D15" i="6"/>
  <c r="F47" i="8"/>
  <c r="E237" i="4"/>
  <c r="N29" i="8"/>
  <c r="D16" i="6"/>
  <c r="D23" i="6"/>
  <c r="D30" i="6"/>
  <c r="O29" i="8"/>
  <c r="P29" i="8"/>
  <c r="G47" i="8"/>
  <c r="E241" i="4"/>
  <c r="J53" i="2"/>
  <c r="J74" i="2"/>
  <c r="E221" i="4"/>
  <c r="L274" i="4"/>
  <c r="O22" i="2"/>
  <c r="K28" i="12"/>
  <c r="P39" i="8"/>
  <c r="E6" i="8"/>
  <c r="J73" i="2"/>
  <c r="E243" i="4"/>
  <c r="E216" i="4"/>
  <c r="O14" i="4"/>
  <c r="X14" i="4"/>
  <c r="E242" i="4"/>
  <c r="H47" i="8"/>
  <c r="D33" i="6"/>
  <c r="D37" i="6"/>
  <c r="J52" i="6"/>
  <c r="L275" i="4"/>
  <c r="L276" i="4"/>
  <c r="K74" i="2"/>
  <c r="F48" i="8"/>
  <c r="I16" i="2"/>
  <c r="J16" i="2"/>
  <c r="K73" i="2"/>
  <c r="K56" i="2"/>
  <c r="E77" i="2"/>
  <c r="G48" i="8"/>
  <c r="L277" i="4"/>
  <c r="F63" i="8"/>
  <c r="I27" i="2"/>
  <c r="J27" i="2"/>
  <c r="L77" i="2"/>
  <c r="G63" i="8"/>
  <c r="H63" i="8"/>
  <c r="H66" i="8"/>
  <c r="E9" i="8"/>
  <c r="K53" i="2"/>
  <c r="H48" i="8"/>
  <c r="L278" i="4"/>
  <c r="L266" i="4"/>
  <c r="L267" i="4"/>
  <c r="V10" i="4"/>
  <c r="U15" i="6"/>
  <c r="M274" i="4"/>
  <c r="M275" i="4"/>
  <c r="M276" i="4"/>
  <c r="M277" i="4"/>
  <c r="M267" i="4"/>
  <c r="W10" i="4"/>
  <c r="V9" i="4"/>
  <c r="E244" i="4"/>
  <c r="V15" i="6"/>
  <c r="U16" i="6"/>
  <c r="M278" i="4"/>
  <c r="M266" i="4"/>
  <c r="W9" i="4"/>
  <c r="U23" i="6"/>
  <c r="U30" i="6"/>
  <c r="U33" i="6"/>
  <c r="U37" i="6"/>
  <c r="E222" i="4"/>
  <c r="E223" i="4"/>
  <c r="V16" i="6"/>
  <c r="V23" i="6"/>
  <c r="V30" i="6"/>
  <c r="V33" i="6"/>
  <c r="V37" i="6"/>
  <c r="J57" i="6"/>
  <c r="E230" i="4"/>
  <c r="E231" i="4"/>
  <c r="E233" i="4"/>
  <c r="E213" i="4"/>
  <c r="O10" i="4"/>
  <c r="E232" i="4"/>
  <c r="N15" i="6"/>
  <c r="E234" i="4"/>
  <c r="E214" i="4"/>
  <c r="O12" i="4"/>
  <c r="X12" i="4"/>
  <c r="F45" i="8"/>
  <c r="G45" i="8"/>
  <c r="H45" i="8"/>
  <c r="H49" i="8"/>
  <c r="E212" i="4"/>
  <c r="O9" i="4"/>
  <c r="N16" i="6"/>
  <c r="E7" i="8"/>
  <c r="L7" i="7"/>
  <c r="N23" i="6"/>
  <c r="N30" i="6"/>
  <c r="N33" i="6"/>
  <c r="N37" i="6"/>
  <c r="Q5" i="6"/>
  <c r="J55" i="6"/>
  <c r="G21" i="11"/>
  <c r="S21" i="11"/>
  <c r="K5" i="6"/>
  <c r="K6" i="6"/>
  <c r="Q6" i="6"/>
  <c r="E6" i="6"/>
  <c r="E5" i="6"/>
  <c r="F32" i="7"/>
  <c r="F30" i="7"/>
  <c r="P61" i="8"/>
  <c r="F34" i="7"/>
  <c r="F37" i="7"/>
  <c r="F31" i="7"/>
  <c r="F29" i="7"/>
  <c r="F33" i="7"/>
  <c r="F36" i="7"/>
  <c r="F35" i="7"/>
  <c r="F38" i="7"/>
  <c r="F6" i="7"/>
  <c r="F42" i="7"/>
  <c r="F43" i="7"/>
  <c r="F44" i="7"/>
  <c r="F7" i="7"/>
  <c r="F49" i="7"/>
  <c r="F48" i="7"/>
  <c r="F50" i="7"/>
  <c r="F8" i="7"/>
  <c r="F9" i="7"/>
  <c r="L34" i="11"/>
  <c r="P64" i="8"/>
  <c r="G34" i="11"/>
  <c r="H34" i="11"/>
  <c r="P34" i="11"/>
  <c r="I34" i="11"/>
  <c r="M34" i="11"/>
  <c r="O34" i="11"/>
  <c r="J34" i="11"/>
  <c r="N34" i="11"/>
  <c r="K34" i="11"/>
  <c r="S19" i="11"/>
  <c r="S17" i="11"/>
  <c r="F19" i="11"/>
  <c r="F17" i="11"/>
  <c r="F38" i="11"/>
  <c r="G19" i="11"/>
  <c r="E19" i="11"/>
  <c r="E17" i="11"/>
  <c r="E38" i="11"/>
  <c r="L6" i="7"/>
  <c r="P62" i="8"/>
  <c r="L8" i="7"/>
  <c r="P63" i="8"/>
  <c r="F40" i="11"/>
  <c r="P65" i="8"/>
  <c r="E40" i="11"/>
  <c r="E41" i="11"/>
  <c r="E46" i="11"/>
  <c r="E39" i="11"/>
  <c r="E45" i="11"/>
  <c r="G23" i="11"/>
  <c r="G17" i="11"/>
  <c r="L9" i="7"/>
  <c r="F39" i="11"/>
  <c r="F45" i="11"/>
  <c r="K17" i="12"/>
  <c r="K10" i="12"/>
  <c r="I56" i="13"/>
  <c r="F41" i="11"/>
  <c r="F46" i="11"/>
  <c r="E10" i="8"/>
  <c r="E12" i="8"/>
  <c r="P29" i="11"/>
  <c r="P26" i="11"/>
  <c r="P35" i="11"/>
  <c r="P32" i="11"/>
  <c r="P38" i="11"/>
  <c r="K20" i="12"/>
  <c r="K22" i="12"/>
  <c r="K9" i="12"/>
  <c r="I55" i="13"/>
  <c r="R29" i="11"/>
  <c r="R26" i="11"/>
  <c r="G29" i="11"/>
  <c r="G26" i="11"/>
  <c r="M29" i="11"/>
  <c r="M26" i="11"/>
  <c r="Q29" i="11"/>
  <c r="Q26" i="11"/>
  <c r="L29" i="11"/>
  <c r="L26" i="11"/>
  <c r="N29" i="11"/>
  <c r="N26" i="11"/>
  <c r="I29" i="11"/>
  <c r="I26" i="11"/>
  <c r="H29" i="11"/>
  <c r="H26" i="11"/>
  <c r="K29" i="11"/>
  <c r="K26" i="11"/>
  <c r="S29" i="11"/>
  <c r="S26" i="11"/>
  <c r="O29" i="11"/>
  <c r="O26" i="11"/>
  <c r="J29" i="11"/>
  <c r="J26" i="11"/>
  <c r="K23" i="12"/>
  <c r="P40" i="11"/>
  <c r="H35" i="11"/>
  <c r="H32" i="11"/>
  <c r="H38" i="11"/>
  <c r="L35" i="11"/>
  <c r="L32" i="11"/>
  <c r="L38" i="11"/>
  <c r="R35" i="11"/>
  <c r="R32" i="11"/>
  <c r="R38" i="11"/>
  <c r="I35" i="11"/>
  <c r="I32" i="11"/>
  <c r="I38" i="11"/>
  <c r="Q35" i="11"/>
  <c r="Q32" i="11"/>
  <c r="Q38" i="11"/>
  <c r="K21" i="12"/>
  <c r="S35" i="11"/>
  <c r="S32" i="11"/>
  <c r="S38" i="11"/>
  <c r="N35" i="11"/>
  <c r="N32" i="11"/>
  <c r="N38" i="11"/>
  <c r="M35" i="11"/>
  <c r="M32" i="11"/>
  <c r="M38" i="11"/>
  <c r="O35" i="11"/>
  <c r="O32" i="11"/>
  <c r="O38" i="11"/>
  <c r="J35" i="11"/>
  <c r="J32" i="11"/>
  <c r="J38" i="11"/>
  <c r="K35" i="11"/>
  <c r="K32" i="11"/>
  <c r="K38" i="11"/>
  <c r="G35" i="11"/>
  <c r="G32" i="11"/>
  <c r="G38" i="11"/>
  <c r="O40" i="11"/>
  <c r="S40" i="11"/>
  <c r="R40" i="11"/>
  <c r="G39" i="11"/>
  <c r="G45" i="11"/>
  <c r="G40" i="11"/>
  <c r="G41" i="11"/>
  <c r="G46" i="11"/>
  <c r="H7" i="11"/>
  <c r="H6" i="11"/>
  <c r="L40" i="11"/>
  <c r="K40" i="11"/>
  <c r="H40" i="11"/>
  <c r="J40" i="11"/>
  <c r="N40" i="11"/>
  <c r="Q40" i="11"/>
  <c r="I40" i="11"/>
  <c r="M40" i="11"/>
  <c r="H39" i="11"/>
  <c r="H45" i="11"/>
  <c r="H41" i="11"/>
  <c r="K7" i="12"/>
  <c r="I53" i="13"/>
  <c r="K6" i="12"/>
  <c r="I52" i="13"/>
  <c r="I41" i="11"/>
  <c r="H46" i="11"/>
  <c r="I39" i="11"/>
  <c r="I45" i="11"/>
  <c r="J41" i="11"/>
  <c r="I46" i="11"/>
  <c r="J39" i="11"/>
  <c r="J45" i="11"/>
  <c r="K41" i="11"/>
  <c r="J46" i="11"/>
  <c r="K39" i="11"/>
  <c r="K45" i="11"/>
  <c r="L41" i="11"/>
  <c r="K46" i="11"/>
  <c r="L39" i="11"/>
  <c r="L45" i="11"/>
  <c r="L46" i="11"/>
  <c r="M41" i="11"/>
  <c r="M39" i="11"/>
  <c r="M45" i="11"/>
  <c r="N41" i="11"/>
  <c r="M46" i="11"/>
  <c r="N39" i="11"/>
  <c r="N45" i="11"/>
  <c r="O41" i="11"/>
  <c r="N46" i="11"/>
  <c r="O39" i="11"/>
  <c r="O45" i="11"/>
  <c r="P41" i="11"/>
  <c r="O46" i="11"/>
  <c r="P39" i="11"/>
  <c r="P45" i="11"/>
  <c r="Q41" i="11"/>
  <c r="P46" i="11"/>
  <c r="Q39" i="11"/>
  <c r="Q45" i="11"/>
  <c r="Q46" i="11"/>
  <c r="R41" i="11"/>
  <c r="R39" i="11"/>
  <c r="R45" i="11"/>
  <c r="S41" i="11"/>
  <c r="S46" i="11"/>
  <c r="R46" i="11"/>
  <c r="S39" i="11"/>
  <c r="S45" i="11"/>
  <c r="D46" i="11"/>
  <c r="H8" i="11"/>
  <c r="K8" i="12"/>
  <c r="I54" i="13"/>
  <c r="I60" i="13"/>
  <c r="J64" i="13"/>
  <c r="D45" i="11"/>
</calcChain>
</file>

<file path=xl/comments1.xml><?xml version="1.0" encoding="utf-8"?>
<comments xmlns="http://schemas.openxmlformats.org/spreadsheetml/2006/main">
  <authors>
    <author>Chris Burk</author>
  </authors>
  <commentList>
    <comment ref="E12" authorId="0" shapeId="0">
      <text>
        <r>
          <rPr>
            <sz val="9"/>
            <color indexed="81"/>
            <rFont val="Tahoma"/>
            <family val="2"/>
          </rPr>
          <t>Vessel volumes of air per minute.</t>
        </r>
      </text>
    </comment>
    <comment ref="E27" authorId="0" shapeId="0">
      <text>
        <r>
          <rPr>
            <sz val="9"/>
            <color indexed="81"/>
            <rFont val="Tahoma"/>
            <family val="2"/>
          </rPr>
          <t>All in rate, including associated supervisory &amp; administrative labor.</t>
        </r>
      </text>
    </comment>
    <comment ref="K27" authorId="0" shapeId="0">
      <text>
        <r>
          <rPr>
            <sz val="9"/>
            <color indexed="81"/>
            <rFont val="Tahoma"/>
            <family val="2"/>
          </rPr>
          <t>kg of feedstocks necessary to produce 1 kg of product.</t>
        </r>
      </text>
    </comment>
    <comment ref="K28" authorId="0" shapeId="0">
      <text>
        <r>
          <rPr>
            <sz val="9"/>
            <color indexed="81"/>
            <rFont val="Tahoma"/>
            <family val="2"/>
          </rPr>
          <t>Fraction of supplied O2 consumed in fermentation.</t>
        </r>
      </text>
    </comment>
    <comment ref="E29" authorId="0" shapeId="0">
      <text>
        <r>
          <rPr>
            <sz val="9"/>
            <color indexed="81"/>
            <rFont val="Tahoma"/>
            <family val="2"/>
          </rPr>
          <t>Yearly maintenance costs as a fraction of direct fixed capital.</t>
        </r>
      </text>
    </comment>
  </commentList>
</comments>
</file>

<file path=xl/comments2.xml><?xml version="1.0" encoding="utf-8"?>
<comments xmlns="http://schemas.openxmlformats.org/spreadsheetml/2006/main">
  <authors>
    <author>Chris Burk</author>
  </authors>
  <commentList>
    <comment ref="C5" authorId="0" shapeId="0">
      <text>
        <r>
          <rPr>
            <sz val="9"/>
            <color indexed="81"/>
            <rFont val="Tahoma"/>
            <family val="2"/>
          </rPr>
          <t>Depreciation not included.</t>
        </r>
      </text>
    </comment>
    <comment ref="J64" authorId="0" shapeId="0">
      <text>
        <r>
          <rPr>
            <sz val="9"/>
            <color indexed="81"/>
            <rFont val="Tahoma"/>
            <family val="2"/>
          </rPr>
          <t>Catch-all for other factory overhead, i.e. misc. materials, supplies, &amp; utilities.</t>
        </r>
      </text>
    </comment>
  </commentList>
</comments>
</file>

<file path=xl/comments3.xml><?xml version="1.0" encoding="utf-8"?>
<comments xmlns="http://schemas.openxmlformats.org/spreadsheetml/2006/main">
  <authors>
    <author>Chris Burk</author>
  </authors>
  <commentList>
    <comment ref="S18" authorId="0" shapeId="0">
      <text>
        <r>
          <rPr>
            <sz val="9"/>
            <color indexed="81"/>
            <rFont val="Tahoma"/>
            <family val="2"/>
          </rPr>
          <t>Salvage value recovered.</t>
        </r>
      </text>
    </comment>
    <comment ref="S20" authorId="0" shapeId="0">
      <text>
        <r>
          <rPr>
            <sz val="9"/>
            <color indexed="81"/>
            <rFont val="Tahoma"/>
            <family val="2"/>
          </rPr>
          <t>Working capital recovered</t>
        </r>
        <r>
          <rPr>
            <b/>
            <sz val="9"/>
            <color indexed="81"/>
            <rFont val="Tahoma"/>
            <family val="2"/>
          </rPr>
          <t>.</t>
        </r>
      </text>
    </comment>
  </commentList>
</comments>
</file>

<file path=xl/sharedStrings.xml><?xml version="1.0" encoding="utf-8"?>
<sst xmlns="http://schemas.openxmlformats.org/spreadsheetml/2006/main" count="1464" uniqueCount="576">
  <si>
    <t>t/yr</t>
  </si>
  <si>
    <t>Stream</t>
  </si>
  <si>
    <t>Temperature</t>
  </si>
  <si>
    <t>degC</t>
  </si>
  <si>
    <t>Phase</t>
  </si>
  <si>
    <t>-</t>
  </si>
  <si>
    <t>Density</t>
  </si>
  <si>
    <t>kJ</t>
  </si>
  <si>
    <t>Water</t>
  </si>
  <si>
    <t>Glucose</t>
  </si>
  <si>
    <t>Peptone</t>
  </si>
  <si>
    <t>Yeast extract</t>
  </si>
  <si>
    <t>Malt extract</t>
  </si>
  <si>
    <t>MgSO4-7H2O</t>
  </si>
  <si>
    <t>K2HPO4</t>
  </si>
  <si>
    <t>Sunflower oil</t>
  </si>
  <si>
    <t>Methionine</t>
  </si>
  <si>
    <t>CO2</t>
  </si>
  <si>
    <t>N2</t>
  </si>
  <si>
    <t>H2O</t>
  </si>
  <si>
    <t>Carbon dioxide</t>
  </si>
  <si>
    <t>Nitrogen</t>
  </si>
  <si>
    <t>Riboflavin</t>
  </si>
  <si>
    <t>Biomass</t>
  </si>
  <si>
    <t>Riboflavin (cr)</t>
  </si>
  <si>
    <t>C6H12O6</t>
  </si>
  <si>
    <t>Magnesium sulfate</t>
  </si>
  <si>
    <t>Potassium phosphate</t>
  </si>
  <si>
    <t>H2SO4 (1N*)</t>
  </si>
  <si>
    <t>Sulfuric acid</t>
  </si>
  <si>
    <t>C5H11NO2S</t>
  </si>
  <si>
    <t>C17H20N4O6</t>
  </si>
  <si>
    <t>D/L-Methionine</t>
  </si>
  <si>
    <t>Magne Sulfate</t>
  </si>
  <si>
    <t>Malt Extract</t>
  </si>
  <si>
    <t>Oxygen</t>
  </si>
  <si>
    <t>Sun Flower Oil</t>
  </si>
  <si>
    <t>Yeast Extract</t>
  </si>
  <si>
    <t>Carb. Dioxide</t>
  </si>
  <si>
    <t>mass</t>
  </si>
  <si>
    <t>in</t>
  </si>
  <si>
    <t>out</t>
  </si>
  <si>
    <t xml:space="preserve"> </t>
  </si>
  <si>
    <t>Inoculum ratio</t>
  </si>
  <si>
    <t>m3</t>
  </si>
  <si>
    <t>O2</t>
  </si>
  <si>
    <t>Riboflavin, aq.</t>
  </si>
  <si>
    <t>Riboflavin, s.</t>
  </si>
  <si>
    <t>Reaction rate</t>
  </si>
  <si>
    <t>Feed rate</t>
  </si>
  <si>
    <t>Working volume</t>
  </si>
  <si>
    <t xml:space="preserve">Aeration rate </t>
  </si>
  <si>
    <t>vvm</t>
  </si>
  <si>
    <t>scm/min</t>
  </si>
  <si>
    <t>Water evaporated</t>
  </si>
  <si>
    <t>Sulfuric Acid</t>
  </si>
  <si>
    <t>Spray dryer</t>
  </si>
  <si>
    <t>Water evaporation</t>
  </si>
  <si>
    <t>oil</t>
  </si>
  <si>
    <t>Total</t>
  </si>
  <si>
    <t>aq.</t>
  </si>
  <si>
    <t>solid</t>
  </si>
  <si>
    <t>kg/s</t>
  </si>
  <si>
    <t>kg/kmol</t>
  </si>
  <si>
    <t>kmol/s</t>
  </si>
  <si>
    <t>kg/m3</t>
  </si>
  <si>
    <t>Batches per year</t>
  </si>
  <si>
    <t>1/yr</t>
  </si>
  <si>
    <t>1/s</t>
  </si>
  <si>
    <t>Batch rate</t>
  </si>
  <si>
    <t>Plant capacity</t>
  </si>
  <si>
    <t>SFO conversion</t>
  </si>
  <si>
    <t>SFO evaporated</t>
  </si>
  <si>
    <t>of riboflavin</t>
  </si>
  <si>
    <t>Calculations &amp; secondary user input</t>
  </si>
  <si>
    <t>Mass coef.</t>
  </si>
  <si>
    <t>Spray dryer parameters</t>
  </si>
  <si>
    <t>General user input</t>
  </si>
  <si>
    <t>In / Out</t>
  </si>
  <si>
    <t>L</t>
  </si>
  <si>
    <t>G</t>
  </si>
  <si>
    <t>L, S</t>
  </si>
  <si>
    <t>S</t>
  </si>
  <si>
    <t>kg</t>
  </si>
  <si>
    <t>Raw materials</t>
  </si>
  <si>
    <t>Air</t>
  </si>
  <si>
    <t>Exhaust</t>
  </si>
  <si>
    <t>Fermenter</t>
  </si>
  <si>
    <t>Liquid waste</t>
  </si>
  <si>
    <t>Product</t>
  </si>
  <si>
    <t>Mass comp.</t>
  </si>
  <si>
    <t>s</t>
  </si>
  <si>
    <t>Mass distribution by phase</t>
  </si>
  <si>
    <t>Mass per batch, kg</t>
  </si>
  <si>
    <t>Component</t>
  </si>
  <si>
    <t>Balance</t>
  </si>
  <si>
    <t>check</t>
  </si>
  <si>
    <t>g/L water</t>
  </si>
  <si>
    <t>g/g SFO</t>
  </si>
  <si>
    <t>Fermentation time</t>
  </si>
  <si>
    <t>h</t>
  </si>
  <si>
    <t>Conv., kg</t>
  </si>
  <si>
    <t>Feed preparation</t>
  </si>
  <si>
    <t>Fermentation</t>
  </si>
  <si>
    <t>Decanting</t>
  </si>
  <si>
    <t>Spray drying</t>
  </si>
  <si>
    <t>Process step</t>
  </si>
  <si>
    <t>Fermentation parameters</t>
  </si>
  <si>
    <t>Glucose in syrup</t>
  </si>
  <si>
    <t>Oxygen in air</t>
  </si>
  <si>
    <t>Other compositions</t>
  </si>
  <si>
    <t>MW air</t>
  </si>
  <si>
    <t>Air rate</t>
  </si>
  <si>
    <t>Plant capacity (RBF)</t>
  </si>
  <si>
    <t>Material balance</t>
  </si>
  <si>
    <t>Sunflower oil conversion</t>
  </si>
  <si>
    <t>Sunflower oil feed rate</t>
  </si>
  <si>
    <t>General calculations</t>
  </si>
  <si>
    <t>kg/batch</t>
  </si>
  <si>
    <t>Balance check</t>
  </si>
  <si>
    <t>Overall:</t>
  </si>
  <si>
    <t>Spray dryer calculations</t>
  </si>
  <si>
    <t>Fermenter calculations</t>
  </si>
  <si>
    <t>x water evaporated</t>
  </si>
  <si>
    <t>Air mass per batch</t>
  </si>
  <si>
    <t>Air ratio</t>
  </si>
  <si>
    <t>x evap. H2O</t>
  </si>
  <si>
    <t>Equipment sizing</t>
  </si>
  <si>
    <t>Pumps</t>
  </si>
  <si>
    <t>Filters</t>
  </si>
  <si>
    <t>Operating time</t>
  </si>
  <si>
    <t>P-005</t>
  </si>
  <si>
    <t>P-010</t>
  </si>
  <si>
    <t>P-300</t>
  </si>
  <si>
    <t>P-350</t>
  </si>
  <si>
    <t>bar</t>
  </si>
  <si>
    <t>Volume</t>
  </si>
  <si>
    <t>m3/s</t>
  </si>
  <si>
    <t>Units in parallel</t>
  </si>
  <si>
    <t>Efficiency</t>
  </si>
  <si>
    <t>m3/h</t>
  </si>
  <si>
    <t>Pressure change</t>
  </si>
  <si>
    <t>kW</t>
  </si>
  <si>
    <t>Volume rate total</t>
  </si>
  <si>
    <t>Volume total</t>
  </si>
  <si>
    <t>T-005</t>
  </si>
  <si>
    <t>T-010</t>
  </si>
  <si>
    <t>T-350</t>
  </si>
  <si>
    <t>T-300</t>
  </si>
  <si>
    <t>T-400</t>
  </si>
  <si>
    <t>T-500</t>
  </si>
  <si>
    <t>Max working volume</t>
  </si>
  <si>
    <t>H-005</t>
  </si>
  <si>
    <t>H-101</t>
  </si>
  <si>
    <t>Specific heat fluid</t>
  </si>
  <si>
    <t>T1</t>
  </si>
  <si>
    <t>T2</t>
  </si>
  <si>
    <t>T3</t>
  </si>
  <si>
    <t>T4</t>
  </si>
  <si>
    <t>T5</t>
  </si>
  <si>
    <t>Mass per batch</t>
  </si>
  <si>
    <t>kJ/kg</t>
  </si>
  <si>
    <t>kJ/(kg-K)</t>
  </si>
  <si>
    <t>Specific heat of water</t>
  </si>
  <si>
    <t>Heat capacity of water</t>
  </si>
  <si>
    <t>T out</t>
  </si>
  <si>
    <t>T in</t>
  </si>
  <si>
    <t>Exchanger approach</t>
  </si>
  <si>
    <t>Cooling duty</t>
  </si>
  <si>
    <t>Unit capacity</t>
  </si>
  <si>
    <t>Compressors</t>
  </si>
  <si>
    <t>K-200</t>
  </si>
  <si>
    <t>Suction pressure</t>
  </si>
  <si>
    <t>γ  (Cp/Cv ratio)</t>
  </si>
  <si>
    <t>γ/(γ-1)</t>
  </si>
  <si>
    <t>Compression ratio</t>
  </si>
  <si>
    <t>Fluid power</t>
  </si>
  <si>
    <t>kg/scm</t>
  </si>
  <si>
    <t>Power</t>
  </si>
  <si>
    <t>Specific heat of air</t>
  </si>
  <si>
    <t>K</t>
  </si>
  <si>
    <t>kPa</t>
  </si>
  <si>
    <t>Cooling water supply</t>
  </si>
  <si>
    <t>Cooling water return</t>
  </si>
  <si>
    <t>Steam temperature</t>
  </si>
  <si>
    <t>R-200</t>
  </si>
  <si>
    <t>kW/m3</t>
  </si>
  <si>
    <t xml:space="preserve">kW </t>
  </si>
  <si>
    <t>Pressure</t>
  </si>
  <si>
    <t>Chilled water supply</t>
  </si>
  <si>
    <t>Chilled water return</t>
  </si>
  <si>
    <t>Duty</t>
  </si>
  <si>
    <t>Total mass</t>
  </si>
  <si>
    <t>Total duty</t>
  </si>
  <si>
    <t>Chilled water</t>
  </si>
  <si>
    <t>kg/h</t>
  </si>
  <si>
    <t>Specific heat of glucose syrup</t>
  </si>
  <si>
    <t>Vessels</t>
  </si>
  <si>
    <t>CR-300</t>
  </si>
  <si>
    <t>Crystallizers</t>
  </si>
  <si>
    <t>Residence time</t>
  </si>
  <si>
    <t>Process time</t>
  </si>
  <si>
    <t>Exhaust gas stream</t>
  </si>
  <si>
    <t>Exhaust gas mass</t>
  </si>
  <si>
    <t>Temperature in</t>
  </si>
  <si>
    <t>kJ/hr</t>
  </si>
  <si>
    <t>Steam rate</t>
  </si>
  <si>
    <t>Steam</t>
  </si>
  <si>
    <t>Temperature out</t>
  </si>
  <si>
    <t>Crystallized stream</t>
  </si>
  <si>
    <t>F-200</t>
  </si>
  <si>
    <t>F-205</t>
  </si>
  <si>
    <t>DC-400</t>
  </si>
  <si>
    <t>kJ/m3</t>
  </si>
  <si>
    <t>kW-h</t>
  </si>
  <si>
    <t>Specific heat</t>
  </si>
  <si>
    <t>Total heating duty</t>
  </si>
  <si>
    <t>kW/(kg/h)</t>
  </si>
  <si>
    <t>(kg/h)/m3</t>
  </si>
  <si>
    <t>Volume calculation</t>
  </si>
  <si>
    <t>Agitation power calculation</t>
  </si>
  <si>
    <t>Process temp. initial</t>
  </si>
  <si>
    <t>Duty for temp. change</t>
  </si>
  <si>
    <t>Decanting centrifuges</t>
  </si>
  <si>
    <t>SD-500</t>
  </si>
  <si>
    <t>Throughput rate</t>
  </si>
  <si>
    <t>Specific power</t>
  </si>
  <si>
    <t>Evaporation calculations</t>
  </si>
  <si>
    <t>Duty for evaporation</t>
  </si>
  <si>
    <t>Temperature evap.</t>
  </si>
  <si>
    <t>Chilled water rate</t>
  </si>
  <si>
    <t>Power calculation</t>
  </si>
  <si>
    <t>Volume, total</t>
  </si>
  <si>
    <t>Power, unit</t>
  </si>
  <si>
    <t>Spray dryers</t>
  </si>
  <si>
    <t>Heating calculations</t>
  </si>
  <si>
    <t>Heat for evaporation</t>
  </si>
  <si>
    <t>Heat to raise gas stream temperature</t>
  </si>
  <si>
    <t>Heat to raise liquid stream temperature</t>
  </si>
  <si>
    <t>Specific evap. rate</t>
  </si>
  <si>
    <t>Evaporation rate</t>
  </si>
  <si>
    <t>Cooling calculations</t>
  </si>
  <si>
    <t>Air mass, total</t>
  </si>
  <si>
    <t xml:space="preserve">Cooling water </t>
  </si>
  <si>
    <t>Electrical power</t>
  </si>
  <si>
    <t>Cooling water</t>
  </si>
  <si>
    <t>Results summary</t>
  </si>
  <si>
    <t>Throughput calculation</t>
  </si>
  <si>
    <t>P1</t>
  </si>
  <si>
    <t>P2</t>
  </si>
  <si>
    <t>T2 (after cooling)</t>
  </si>
  <si>
    <t>T2 (before cooling)</t>
  </si>
  <si>
    <t>Throughput calculations</t>
  </si>
  <si>
    <t>Inlet/outlet exchanger calculations</t>
  </si>
  <si>
    <t>Std. volume, batch</t>
  </si>
  <si>
    <t>Act. volume, batch</t>
  </si>
  <si>
    <t>Tag</t>
  </si>
  <si>
    <t>Capacity metric</t>
  </si>
  <si>
    <t>Capacity units</t>
  </si>
  <si>
    <t>Separation equipment</t>
  </si>
  <si>
    <t>Misc. equipment</t>
  </si>
  <si>
    <t>Throughput</t>
  </si>
  <si>
    <t>Equipment list</t>
  </si>
  <si>
    <t>Fermenter &amp; vessel sizing</t>
  </si>
  <si>
    <t>Separation equipment sizing</t>
  </si>
  <si>
    <t>Miscellaneous equipment sizing</t>
  </si>
  <si>
    <t>Fluid transport equipment sizing</t>
  </si>
  <si>
    <t>Fluid transport equipment</t>
  </si>
  <si>
    <t>Process model</t>
  </si>
  <si>
    <t>Capacity</t>
  </si>
  <si>
    <t>Scaling exponent</t>
  </si>
  <si>
    <t>Batch volume</t>
  </si>
  <si>
    <t>Vessel volume</t>
  </si>
  <si>
    <t>Batch mass</t>
  </si>
  <si>
    <t>Batch water mass</t>
  </si>
  <si>
    <t>Batch air volume</t>
  </si>
  <si>
    <t>MOC</t>
  </si>
  <si>
    <t>SS316</t>
  </si>
  <si>
    <t>CS</t>
  </si>
  <si>
    <t>Installation factor</t>
  </si>
  <si>
    <t>Installation cost</t>
  </si>
  <si>
    <t>Piping</t>
  </si>
  <si>
    <t>Instrumentation</t>
  </si>
  <si>
    <t>Insulation</t>
  </si>
  <si>
    <t>Electrical facilities</t>
  </si>
  <si>
    <t>Buildings</t>
  </si>
  <si>
    <t>Yard improvements</t>
  </si>
  <si>
    <t>Auxiliary facilities</t>
  </si>
  <si>
    <t>Engineering</t>
  </si>
  <si>
    <t>Construction</t>
  </si>
  <si>
    <t>Other costs</t>
  </si>
  <si>
    <t>Contractor's fee</t>
  </si>
  <si>
    <t>x PC</t>
  </si>
  <si>
    <t>Working capital</t>
  </si>
  <si>
    <t>Allowance for unlisted equipment</t>
  </si>
  <si>
    <t>Total PC</t>
  </si>
  <si>
    <t>Equipment purchased cost estimation</t>
  </si>
  <si>
    <t>Listed equipment installation</t>
  </si>
  <si>
    <t>Equipment purchase</t>
  </si>
  <si>
    <t>Installation</t>
  </si>
  <si>
    <t>This page estimates the purchased costs (PC) and installation costs for major equipment based on capacity and year.</t>
  </si>
  <si>
    <t>Total equipment installation cost</t>
  </si>
  <si>
    <t>Total equipment purchased cost</t>
  </si>
  <si>
    <t>PC/unit (ref. year)</t>
  </si>
  <si>
    <t>PC/unit (est. year)</t>
  </si>
  <si>
    <t>Capacity (ref.)</t>
  </si>
  <si>
    <t>PC (ref.)</t>
  </si>
  <si>
    <t>Year (ref.)</t>
  </si>
  <si>
    <t>Year (est.)</t>
  </si>
  <si>
    <t>CEPCI (ref.)</t>
  </si>
  <si>
    <t>CEPCI (est.)</t>
  </si>
  <si>
    <t>Fixed capital estimation</t>
  </si>
  <si>
    <t>This page estimates direct fixed capital investment by applying multiplication factors to purchased equipment cost.</t>
  </si>
  <si>
    <t>Total plant direct costs (DC)</t>
  </si>
  <si>
    <t>Plant direct costs</t>
  </si>
  <si>
    <t>Plant indirect costs</t>
  </si>
  <si>
    <t>Labor</t>
  </si>
  <si>
    <t>Process labor</t>
  </si>
  <si>
    <t>CIP time</t>
  </si>
  <si>
    <t>CIP labor</t>
  </si>
  <si>
    <t>labor-h/h</t>
  </si>
  <si>
    <t>labor-h</t>
  </si>
  <si>
    <t>Total labor per batch</t>
  </si>
  <si>
    <t>Vessels &amp; tanks</t>
  </si>
  <si>
    <t>Fermenters</t>
  </si>
  <si>
    <t>Steam in place calculations</t>
  </si>
  <si>
    <t>Rate</t>
  </si>
  <si>
    <t>Time</t>
  </si>
  <si>
    <t>Steam per batch</t>
  </si>
  <si>
    <t>Clean in place calculations</t>
  </si>
  <si>
    <t>Capacity calculation</t>
  </si>
  <si>
    <t>Total vessel volume</t>
  </si>
  <si>
    <t>Max vessel volume</t>
  </si>
  <si>
    <t>Max volume</t>
  </si>
  <si>
    <t>Max throughput</t>
  </si>
  <si>
    <t>Rate, total</t>
  </si>
  <si>
    <t>Unit throughput</t>
  </si>
  <si>
    <t>Max power per unit</t>
  </si>
  <si>
    <t>Unit power</t>
  </si>
  <si>
    <t>Max throughput /unit</t>
  </si>
  <si>
    <t>Capacity per unit</t>
  </si>
  <si>
    <t>Number of units</t>
  </si>
  <si>
    <t>Vol flow per circ.</t>
  </si>
  <si>
    <t>(m3/h)/m</t>
  </si>
  <si>
    <t>Height / diameter</t>
  </si>
  <si>
    <t>Diameter</t>
  </si>
  <si>
    <t>m</t>
  </si>
  <si>
    <t>Circumference</t>
  </si>
  <si>
    <t>Flow rate per vessel</t>
  </si>
  <si>
    <t>Total flow rate</t>
  </si>
  <si>
    <t>Total volume H2O</t>
  </si>
  <si>
    <t>Process water</t>
  </si>
  <si>
    <t>Operator</t>
  </si>
  <si>
    <t>USD/h</t>
  </si>
  <si>
    <t>QC analyst</t>
  </si>
  <si>
    <t>h/batch</t>
  </si>
  <si>
    <t>USD/batch</t>
  </si>
  <si>
    <t>USD/yr</t>
  </si>
  <si>
    <t>h/yr</t>
  </si>
  <si>
    <t>Utilities</t>
  </si>
  <si>
    <t>USD/unit</t>
  </si>
  <si>
    <t>Unit</t>
  </si>
  <si>
    <t>Units/batch</t>
  </si>
  <si>
    <t>Units/yr</t>
  </si>
  <si>
    <t>MT</t>
  </si>
  <si>
    <t>Operating labor</t>
  </si>
  <si>
    <t>Steam calculations</t>
  </si>
  <si>
    <t xml:space="preserve">Chilled water </t>
  </si>
  <si>
    <t>Chilled water calculations</t>
  </si>
  <si>
    <t>USD/kg</t>
  </si>
  <si>
    <t>kg/yr</t>
  </si>
  <si>
    <t>Sunflower Oil</t>
  </si>
  <si>
    <t>Waste</t>
  </si>
  <si>
    <t>Crystallizer oil fraction</t>
  </si>
  <si>
    <t>Crystallizer aq fraction</t>
  </si>
  <si>
    <t>Crystallizer exhaust</t>
  </si>
  <si>
    <t>Spray dryer exhaust</t>
  </si>
  <si>
    <t>Laboratory/QC/QA</t>
  </si>
  <si>
    <t>USD/year</t>
  </si>
  <si>
    <t>Maintenance</t>
  </si>
  <si>
    <t>Insurance</t>
  </si>
  <si>
    <t>Local taxes</t>
  </si>
  <si>
    <t>Factory expense</t>
  </si>
  <si>
    <t>Timing, labor, usage</t>
  </si>
  <si>
    <t>Unlisted equipment installation</t>
  </si>
  <si>
    <t>Unlisted eq. installation cost</t>
  </si>
  <si>
    <t>Depreciation</t>
  </si>
  <si>
    <t>x DFC</t>
  </si>
  <si>
    <t>Facilities</t>
  </si>
  <si>
    <t>Facility costs</t>
  </si>
  <si>
    <t>Fixed cost</t>
  </si>
  <si>
    <t>Product titer</t>
  </si>
  <si>
    <t>Operating costs</t>
  </si>
  <si>
    <t>Operating cost and revenue estimation</t>
  </si>
  <si>
    <t>Revenue</t>
  </si>
  <si>
    <t>This page estimates plant operating costs and revenue based on the stream table, equipment list, and user input.</t>
  </si>
  <si>
    <t>Total plant indirect costs (IC)</t>
  </si>
  <si>
    <t xml:space="preserve"> x PC</t>
  </si>
  <si>
    <t xml:space="preserve"> x DC</t>
  </si>
  <si>
    <t xml:space="preserve"> x (PC + IC)</t>
  </si>
  <si>
    <t>Startup costs</t>
  </si>
  <si>
    <t xml:space="preserve"> x (RM+OL+UT+W)</t>
  </si>
  <si>
    <t>Total capital investment</t>
  </si>
  <si>
    <t>Direct fixed capital</t>
  </si>
  <si>
    <t>Capital cost component setpoints and calculations</t>
  </si>
  <si>
    <t xml:space="preserve"> x DFC</t>
  </si>
  <si>
    <t>Products</t>
  </si>
  <si>
    <t>Gross profit</t>
  </si>
  <si>
    <t>Income tax rate</t>
  </si>
  <si>
    <t>Net profit</t>
  </si>
  <si>
    <t>Gross margin</t>
  </si>
  <si>
    <t>Profitability metrics</t>
  </si>
  <si>
    <t>Cash flow analysis</t>
  </si>
  <si>
    <t>Year</t>
  </si>
  <si>
    <t>Capital outlay</t>
  </si>
  <si>
    <t>Fixed capital</t>
  </si>
  <si>
    <t>MM USD</t>
  </si>
  <si>
    <t>Operating rate</t>
  </si>
  <si>
    <t>Product sales</t>
  </si>
  <si>
    <t>Schedule</t>
  </si>
  <si>
    <t>Taxable income</t>
  </si>
  <si>
    <t>Cash flow</t>
  </si>
  <si>
    <t>Cumulative</t>
  </si>
  <si>
    <t>Discount rate</t>
  </si>
  <si>
    <t>IRR</t>
  </si>
  <si>
    <t>NPV</t>
  </si>
  <si>
    <t>User input</t>
  </si>
  <si>
    <t>Discounted cash flow</t>
  </si>
  <si>
    <t>Cum. disc. cash flow</t>
  </si>
  <si>
    <t>/ kg product</t>
  </si>
  <si>
    <t>This page performs a discounted cash flow analysis.</t>
  </si>
  <si>
    <t>Air density</t>
  </si>
  <si>
    <t>Inoculation</t>
  </si>
  <si>
    <t>Inoculation removal</t>
  </si>
  <si>
    <t>Crystallization</t>
  </si>
  <si>
    <t>Crystallizer</t>
  </si>
  <si>
    <t>Crystallizer parameters</t>
  </si>
  <si>
    <t>Crystallization yield</t>
  </si>
  <si>
    <t>Medium composition</t>
  </si>
  <si>
    <t>Operating cost component settings &amp; calculations</t>
  </si>
  <si>
    <t>Contingency</t>
  </si>
  <si>
    <t>Process temp. final</t>
  </si>
  <si>
    <t>Inline sterilizers</t>
  </si>
  <si>
    <t>T sterilization</t>
  </si>
  <si>
    <t>Decanter oil fract.</t>
  </si>
  <si>
    <t>Decanter aq. fract.</t>
  </si>
  <si>
    <t>Fermenter exhaust</t>
  </si>
  <si>
    <t>t/batch</t>
  </si>
  <si>
    <t>Maintenance factor</t>
  </si>
  <si>
    <t>Max fermenter size</t>
  </si>
  <si>
    <t>/kg</t>
  </si>
  <si>
    <t>/hr</t>
  </si>
  <si>
    <t>Operator rate</t>
  </si>
  <si>
    <t>/kWh</t>
  </si>
  <si>
    <t>Fermentation aeration rate</t>
  </si>
  <si>
    <t>Process parameters</t>
  </si>
  <si>
    <t>Other OpEx parameters</t>
  </si>
  <si>
    <t>xDFC/yr</t>
  </si>
  <si>
    <t>Laboratory</t>
  </si>
  <si>
    <t>Waste treatment</t>
  </si>
  <si>
    <t>MM USD/ yr</t>
  </si>
  <si>
    <t>Financial results</t>
  </si>
  <si>
    <t>Total capital</t>
  </si>
  <si>
    <t>Mass index</t>
  </si>
  <si>
    <t>Metrics</t>
  </si>
  <si>
    <t>Oxygen utilization in fermenter</t>
  </si>
  <si>
    <t>Mass index, inlet</t>
  </si>
  <si>
    <t>kg in / kg prod.</t>
  </si>
  <si>
    <t>Process metrics</t>
  </si>
  <si>
    <t>This page uses information from the process model to estimate equipment capacities, utility requirements, and labor requirements.</t>
  </si>
  <si>
    <t>Product &amp; raw material values</t>
  </si>
  <si>
    <t>Tornado diagram sensitivity analysis</t>
  </si>
  <si>
    <t>Settings</t>
  </si>
  <si>
    <t>Worst</t>
  </si>
  <si>
    <t>Expected</t>
  </si>
  <si>
    <t>Best</t>
  </si>
  <si>
    <t>Units</t>
  </si>
  <si>
    <t>Reference</t>
  </si>
  <si>
    <t>Metric:</t>
  </si>
  <si>
    <t>User instructions:</t>
  </si>
  <si>
    <t>1.  In 'Settings' table, enter best-case, expected-case, and worst-case values for each parameter.</t>
  </si>
  <si>
    <t>2.  Select output metric from drop down menu below table.</t>
  </si>
  <si>
    <t>3.  Click 'Refresh Tornado' button.</t>
  </si>
  <si>
    <t>4.  Customize chart format if desired.</t>
  </si>
  <si>
    <t>Software Copyright 2017 Burk Engineering LLC</t>
  </si>
  <si>
    <t>Tornado data &amp; settings</t>
  </si>
  <si>
    <t>Results</t>
  </si>
  <si>
    <t>Higher = better</t>
  </si>
  <si>
    <t>Use: Index</t>
  </si>
  <si>
    <t>Value</t>
  </si>
  <si>
    <t>Format</t>
  </si>
  <si>
    <t>Metric</t>
  </si>
  <si>
    <t>Input</t>
  </si>
  <si>
    <t xml:space="preserve">Low </t>
  </si>
  <si>
    <t>High</t>
  </si>
  <si>
    <t>Fermentation air rate</t>
  </si>
  <si>
    <t>x DFC/yr</t>
  </si>
  <si>
    <t>NPV, MMUSD</t>
  </si>
  <si>
    <t>Product price</t>
  </si>
  <si>
    <t>Methionine price</t>
  </si>
  <si>
    <t>Power price</t>
  </si>
  <si>
    <t>Riboflavin product</t>
  </si>
  <si>
    <t>Physical constants</t>
  </si>
  <si>
    <t>Plant parameters</t>
  </si>
  <si>
    <t>This page populates a material balance for the process based on user input and the process flow diagram.</t>
  </si>
  <si>
    <t>Listed equipment purchased cost</t>
  </si>
  <si>
    <t>Unlisted equipment purchased cost</t>
  </si>
  <si>
    <t>x purchased cost</t>
  </si>
  <si>
    <t>x purchased cost of unlisted equipment</t>
  </si>
  <si>
    <t>/yr</t>
  </si>
  <si>
    <t>Centrifuge material balance</t>
  </si>
  <si>
    <t>Assumptions &amp; notes</t>
  </si>
  <si>
    <t>Agitation energy goes to heat.</t>
  </si>
  <si>
    <t>s/yr</t>
  </si>
  <si>
    <t>yr</t>
  </si>
  <si>
    <t>kg/t</t>
  </si>
  <si>
    <t>s/h</t>
  </si>
  <si>
    <t>s/min</t>
  </si>
  <si>
    <t>scm/kmol</t>
  </si>
  <si>
    <t>kJ/kWh</t>
  </si>
  <si>
    <t>kPa/bar</t>
  </si>
  <si>
    <t>Unit conversions</t>
  </si>
  <si>
    <t>Mass</t>
  </si>
  <si>
    <t>Energy</t>
  </si>
  <si>
    <t>Amount</t>
  </si>
  <si>
    <t>Payback calculation</t>
  </si>
  <si>
    <t>Discounted</t>
  </si>
  <si>
    <t>Non-discounted</t>
  </si>
  <si>
    <t>Discounted payback</t>
  </si>
  <si>
    <t>Constants</t>
  </si>
  <si>
    <t>This page contains various constants and conversion factors that are used as Named Ranges throughout the workbook.</t>
  </si>
  <si>
    <t>Molecular weights</t>
  </si>
  <si>
    <t>Introduction</t>
  </si>
  <si>
    <t>VBA components</t>
  </si>
  <si>
    <t>The diagram below shows the general structure of the model. The blocks are worksheet pages and the lines represent flow of information.</t>
  </si>
  <si>
    <t>Purpose</t>
  </si>
  <si>
    <t>About the process</t>
  </si>
  <si>
    <r>
      <rPr>
        <i/>
        <sz val="11"/>
        <color theme="1"/>
        <rFont val="Calibri"/>
        <family val="2"/>
        <scheme val="minor"/>
      </rPr>
      <t>E. ashbyii</t>
    </r>
    <r>
      <rPr>
        <sz val="11"/>
        <color theme="1"/>
        <rFont val="Calibri"/>
        <family val="2"/>
        <scheme val="minor"/>
      </rPr>
      <t xml:space="preserve"> is closely related to </t>
    </r>
    <r>
      <rPr>
        <i/>
        <sz val="11"/>
        <color theme="1"/>
        <rFont val="Calibri"/>
        <family val="2"/>
        <scheme val="minor"/>
      </rPr>
      <t>A. gosypii</t>
    </r>
    <r>
      <rPr>
        <sz val="11"/>
        <color theme="1"/>
        <rFont val="Calibri"/>
        <family val="2"/>
        <scheme val="minor"/>
      </rPr>
      <t>, but it is not very genetically stable, so it is necessary to use a batch configuration starting with fresh stock for each batch.</t>
    </r>
  </si>
  <si>
    <r>
      <t xml:space="preserve">Grey shaded cells contain </t>
    </r>
    <r>
      <rPr>
        <i/>
        <sz val="11"/>
        <color theme="1"/>
        <rFont val="Calibri"/>
        <family val="2"/>
        <scheme val="minor"/>
      </rPr>
      <t>workbook-level</t>
    </r>
    <r>
      <rPr>
        <sz val="11"/>
        <color theme="1"/>
        <rFont val="Calibri"/>
        <family val="2"/>
        <scheme val="minor"/>
      </rPr>
      <t xml:space="preserve"> input values.</t>
    </r>
  </si>
  <si>
    <t>The model</t>
  </si>
  <si>
    <t>Operation</t>
  </si>
  <si>
    <r>
      <t xml:space="preserve">The </t>
    </r>
    <r>
      <rPr>
        <b/>
        <sz val="11"/>
        <color theme="9" tint="-0.249977111117893"/>
        <rFont val="Calibri"/>
        <family val="2"/>
        <scheme val="minor"/>
      </rPr>
      <t>Cash flow</t>
    </r>
    <r>
      <rPr>
        <sz val="11"/>
        <color theme="1"/>
        <rFont val="Calibri"/>
        <family val="2"/>
        <scheme val="minor"/>
      </rPr>
      <t xml:space="preserve"> page performs a discounted cash flow analysis for the plant over a fifteen-year period and calculates profitability metrics like NPV and IRR.</t>
    </r>
  </si>
  <si>
    <t>Contact</t>
  </si>
  <si>
    <t>Chris Burk, PE</t>
  </si>
  <si>
    <t>Process techno-economics consultant</t>
  </si>
  <si>
    <t>Burk Engineering LLC</t>
  </si>
  <si>
    <t>cburk@BurkEngineeringLLC.com</t>
  </si>
  <si>
    <t>www.BurkEngineeringLLC.com</t>
  </si>
  <si>
    <t>email</t>
  </si>
  <si>
    <t>website</t>
  </si>
  <si>
    <t>Techno-economic model  dashboard- Riboflavin fermentation</t>
  </si>
  <si>
    <t>This page aggregates important user input values and results for easy access.</t>
  </si>
  <si>
    <t>This page uses a VBA macro to automate building tornado diagrams based on the model. Tornado diagrams are useful for prioritizing R&amp;D and for identify risks and opportunities.</t>
  </si>
  <si>
    <t>Disc. Payback, yr</t>
  </si>
  <si>
    <t>CapEx/Capacity, USD/(t/yr)</t>
  </si>
  <si>
    <t>USD/(t/yr)</t>
  </si>
  <si>
    <t>Disc. payback</t>
  </si>
  <si>
    <t>CapEx / Capacity</t>
  </si>
  <si>
    <r>
      <rPr>
        <i/>
        <sz val="11"/>
        <color theme="1"/>
        <rFont val="Calibri"/>
        <family val="2"/>
        <scheme val="minor"/>
      </rPr>
      <t>Tornado analysis</t>
    </r>
    <r>
      <rPr>
        <sz val="11"/>
        <color theme="1"/>
        <rFont val="Calibri"/>
        <family val="2"/>
        <scheme val="minor"/>
      </rPr>
      <t xml:space="preserve"> - Tornado charts are time consuming to generate manually, since they require plugging in and recording numerous values. This workbook contains a macro that does this automatically. It can be used and reconfigured on the 'Tornado' page, but the code is locked and cannot be exported. Third party tornado analysis software is available from several sources.</t>
    </r>
  </si>
  <si>
    <t>No loss of product in spray dryer, crystallizer, tank transfer.</t>
  </si>
  <si>
    <t>Crystallization heat is negligible.</t>
  </si>
  <si>
    <t>Ferm. O2 utilization</t>
  </si>
  <si>
    <t>Demonstration TEM - Riboflavin fermentation</t>
  </si>
  <si>
    <t xml:space="preserve">Separation </t>
  </si>
  <si>
    <t>Compressor</t>
  </si>
  <si>
    <t>Other</t>
  </si>
  <si>
    <t>Cart data</t>
  </si>
  <si>
    <t>Structure</t>
  </si>
  <si>
    <t>Pro Tip: Searchable Excel Stream Tables with VBA</t>
  </si>
  <si>
    <t>This model illustrates one approach to techno-economic modeling that we often use at Burk Engineering LLC. The purpose of this model is to demonstrate this approach and its value, not to accurately represent a realistic process.</t>
  </si>
  <si>
    <r>
      <t xml:space="preserve">Riboflavin (Vitamin B2) is used as an additive to human and animal food products. The worldwide production was about 8,000 metric tons per year as of 2015 and is obtained mostly through fermentation using </t>
    </r>
    <r>
      <rPr>
        <i/>
        <sz val="11"/>
        <color theme="1"/>
        <rFont val="Calibri"/>
        <family val="2"/>
        <scheme val="minor"/>
      </rPr>
      <t>A. gossypii</t>
    </r>
    <r>
      <rPr>
        <sz val="11"/>
        <color theme="1"/>
        <rFont val="Calibri"/>
        <family val="2"/>
        <scheme val="minor"/>
      </rPr>
      <t xml:space="preserve"> strains. This model is based on a case study from the textbook 'Development of Sustainable Bioprocesses', by Heinzle, Biwer, and Cooney, using the alternative organism </t>
    </r>
    <r>
      <rPr>
        <i/>
        <sz val="11"/>
        <color theme="1"/>
        <rFont val="Calibri"/>
        <family val="2"/>
        <scheme val="minor"/>
      </rPr>
      <t>Eremothecium ashbyii</t>
    </r>
    <r>
      <rPr>
        <sz val="11"/>
        <color theme="1"/>
        <rFont val="Calibri"/>
        <family val="2"/>
        <scheme val="minor"/>
      </rPr>
      <t xml:space="preserve">. </t>
    </r>
  </si>
  <si>
    <r>
      <t xml:space="preserve">The model is modular in structure, as described in more detail below. The </t>
    </r>
    <r>
      <rPr>
        <b/>
        <sz val="11"/>
        <color theme="3" tint="-0.249977111117893"/>
        <rFont val="Calibri"/>
        <family val="2"/>
        <scheme val="minor"/>
      </rPr>
      <t>Dashboard</t>
    </r>
    <r>
      <rPr>
        <sz val="11"/>
        <color theme="1"/>
        <rFont val="Calibri"/>
        <family val="2"/>
        <scheme val="minor"/>
      </rPr>
      <t xml:space="preserve"> page aggregates important user input values and results for easy access and operation. The </t>
    </r>
    <r>
      <rPr>
        <b/>
        <sz val="11"/>
        <color theme="3" tint="0.39997558519241921"/>
        <rFont val="Calibri"/>
        <family val="2"/>
        <scheme val="minor"/>
      </rPr>
      <t>Tornado</t>
    </r>
    <r>
      <rPr>
        <sz val="11"/>
        <color theme="1"/>
        <rFont val="Calibri"/>
        <family val="2"/>
        <scheme val="minor"/>
      </rPr>
      <t xml:space="preserve"> page uses a VBA macro to quickly build tornado diagrams for sensitivity analysis.</t>
    </r>
  </si>
  <si>
    <r>
      <t xml:space="preserve">Yellow shaded cells contain </t>
    </r>
    <r>
      <rPr>
        <i/>
        <sz val="11"/>
        <color theme="1"/>
        <rFont val="Calibri"/>
        <family val="2"/>
        <scheme val="minor"/>
      </rPr>
      <t>worksheet-level</t>
    </r>
    <r>
      <rPr>
        <sz val="11"/>
        <color theme="1"/>
        <rFont val="Calibri"/>
        <family val="2"/>
        <scheme val="minor"/>
      </rPr>
      <t xml:space="preserve"> input values, which are linked to </t>
    </r>
    <r>
      <rPr>
        <i/>
        <sz val="11"/>
        <color theme="1"/>
        <rFont val="Calibri"/>
        <family val="2"/>
        <scheme val="minor"/>
      </rPr>
      <t>workbook-level</t>
    </r>
    <r>
      <rPr>
        <sz val="11"/>
        <color theme="1"/>
        <rFont val="Calibri"/>
        <family val="2"/>
        <scheme val="minor"/>
      </rPr>
      <t xml:space="preserve"> input cells on the </t>
    </r>
    <r>
      <rPr>
        <b/>
        <sz val="11"/>
        <color theme="3" tint="-0.249977111117893"/>
        <rFont val="Calibri"/>
        <family val="2"/>
        <scheme val="minor"/>
      </rPr>
      <t>Dashboard</t>
    </r>
    <r>
      <rPr>
        <sz val="11"/>
        <color theme="1"/>
        <rFont val="Calibri"/>
        <family val="2"/>
        <scheme val="minor"/>
      </rPr>
      <t xml:space="preserve"> page.</t>
    </r>
  </si>
  <si>
    <r>
      <t xml:space="preserve">The </t>
    </r>
    <r>
      <rPr>
        <b/>
        <sz val="11"/>
        <color theme="4"/>
        <rFont val="Calibri"/>
        <family val="2"/>
        <scheme val="minor"/>
      </rPr>
      <t>Process model</t>
    </r>
    <r>
      <rPr>
        <sz val="11"/>
        <color theme="1"/>
        <rFont val="Calibri"/>
        <family val="2"/>
        <scheme val="minor"/>
      </rPr>
      <t xml:space="preserve"> uses technical parameters from the lab, literature, and elsewhere to develop a material balance for the process, which is defined in the process diagram. The </t>
    </r>
    <r>
      <rPr>
        <b/>
        <sz val="11"/>
        <color theme="4"/>
        <rFont val="Calibri"/>
        <family val="2"/>
        <scheme val="minor"/>
      </rPr>
      <t>Equipment sizing</t>
    </r>
    <r>
      <rPr>
        <sz val="11"/>
        <color theme="1"/>
        <rFont val="Calibri"/>
        <family val="2"/>
        <scheme val="minor"/>
      </rPr>
      <t xml:space="preserve"> page uses data from the material balance to calculate utility requirements, labor requirements, and the specific values necessary for estimating major equipment costs. The </t>
    </r>
    <r>
      <rPr>
        <b/>
        <sz val="11"/>
        <color theme="5" tint="-0.249977111117893"/>
        <rFont val="Calibri"/>
        <family val="2"/>
        <scheme val="minor"/>
      </rPr>
      <t>OpEx &amp; Rev</t>
    </r>
    <r>
      <rPr>
        <sz val="11"/>
        <color theme="1"/>
        <rFont val="Calibri"/>
        <family val="2"/>
        <scheme val="minor"/>
      </rPr>
      <t xml:space="preserve"> page estimates operating costs and revenue using values from the material balance and prices specified by the user. </t>
    </r>
  </si>
  <si>
    <r>
      <t xml:space="preserve">To estimate capital costs, the model first estimates major equipment costs and then extrapolates total plant cost. The </t>
    </r>
    <r>
      <rPr>
        <b/>
        <sz val="11"/>
        <color theme="5" tint="-0.249977111117893"/>
        <rFont val="Calibri"/>
        <family val="2"/>
        <scheme val="minor"/>
      </rPr>
      <t>Equipment costs</t>
    </r>
    <r>
      <rPr>
        <sz val="11"/>
        <color theme="1"/>
        <rFont val="Calibri"/>
        <family val="2"/>
        <scheme val="minor"/>
      </rPr>
      <t xml:space="preserve"> page uses capacity scaling factors to estimate major equipment costs from reference cases. The </t>
    </r>
    <r>
      <rPr>
        <b/>
        <sz val="11"/>
        <color theme="5" tint="-0.249977111117893"/>
        <rFont val="Calibri"/>
        <family val="2"/>
        <scheme val="minor"/>
      </rPr>
      <t>CapEx</t>
    </r>
    <r>
      <rPr>
        <sz val="11"/>
        <color theme="1"/>
        <rFont val="Calibri"/>
        <family val="2"/>
        <scheme val="minor"/>
      </rPr>
      <t xml:space="preserve"> page applies multiplying factors to major equipment costs to estimate total capital cost.</t>
    </r>
  </si>
  <si>
    <r>
      <rPr>
        <i/>
        <sz val="11"/>
        <color theme="1"/>
        <rFont val="Calibri"/>
        <family val="2"/>
        <scheme val="minor"/>
      </rPr>
      <t>Lookup functions</t>
    </r>
    <r>
      <rPr>
        <sz val="11"/>
        <color theme="1"/>
        <rFont val="Calibri"/>
        <family val="2"/>
        <scheme val="minor"/>
      </rPr>
      <t>- This workbook also contains two custom VBA functions for looking up values in the stream table and equipment list. These functions allow for simpler and more intuitive formulas, which reduces errors and facilitates spreadsheet development and debugging. The code for these functions is also locked, but is published and discussed in more detail in the blog post linked below.</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</si>
</sst>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5">
    <numFmt numFmtId="6" formatCode="&quot;$&quot;#,##0_);[Red]\(&quot;$&quot;#,##0\)"/>
    <numFmt numFmtId="8" formatCode="&quot;$&quot;#,##0.00_);[Red]\(&quot;$&quot;#,##0.00\)"/>
    <numFmt numFmtId="164" formatCode="#,##0.0"/>
    <numFmt numFmtId="165" formatCode="0.000"/>
    <numFmt numFmtId="166" formatCode="0.0"/>
    <numFmt numFmtId="167" formatCode="#,##0.0000"/>
    <numFmt numFmtId="168" formatCode="0.0%"/>
    <numFmt numFmtId="169" formatCode="0.000%"/>
    <numFmt numFmtId="170" formatCode="#,##0.000"/>
    <numFmt numFmtId="171" formatCode="000"/>
    <numFmt numFmtId="172" formatCode="&quot;$&quot;#,##0.000_);[Red]\(&quot;$&quot;#,##0.000\)"/>
    <numFmt numFmtId="173" formatCode="&quot;$&quot;#,##0"/>
    <numFmt numFmtId="174" formatCode="&quot;$&quot;#,##0.0_);[Red]\(&quot;$&quot;#,##0.0\)"/>
    <numFmt numFmtId="175" formatCode="&quot;$&quot;#,##0.0"/>
    <numFmt numFmtId="176" formatCode="&quot;$&quot;#,##0.00"/>
  </numFmts>
  <fonts count="55" x14ac:knownFonts="1">
    <font>
      <sz val="11"/>
      <color theme="1"/>
      <name val="Calibri"/>
      <family val="2"/>
      <scheme val="minor"/>
    </font>
    <font>
      <b/>
      <sz val="11"/>
      <color theme="1"/>
      <name val="Calibri"/>
      <family val="2"/>
      <scheme val="minor"/>
    </font>
    <font>
      <sz val="11"/>
      <color theme="0"/>
      <name val="Calibri"/>
      <family val="2"/>
      <scheme val="minor"/>
    </font>
    <font>
      <b/>
      <sz val="11"/>
      <color theme="1" tint="0.24994659260841701"/>
      <name val="Calibri"/>
      <family val="2"/>
    </font>
    <font>
      <sz val="13"/>
      <color theme="3"/>
      <name val="Calibri"/>
      <family val="2"/>
    </font>
    <font>
      <sz val="11"/>
      <color theme="3"/>
      <name val="Calibri"/>
      <family val="2"/>
    </font>
    <font>
      <b/>
      <sz val="13"/>
      <color theme="0"/>
      <name val="Calibri"/>
      <family val="2"/>
    </font>
    <font>
      <b/>
      <sz val="11"/>
      <name val="Calibri"/>
      <family val="2"/>
      <scheme val="minor"/>
    </font>
    <font>
      <sz val="11"/>
      <name val="Calibri"/>
      <family val="2"/>
      <scheme val="minor"/>
    </font>
    <font>
      <b/>
      <sz val="11"/>
      <color theme="4"/>
      <name val="Calibri"/>
      <family val="2"/>
      <scheme val="minor"/>
    </font>
    <font>
      <b/>
      <sz val="11"/>
      <color theme="4"/>
      <name val="Calibri"/>
      <family val="2"/>
    </font>
    <font>
      <sz val="11"/>
      <color theme="3"/>
      <name val="Calibri"/>
      <family val="2"/>
      <scheme val="minor"/>
    </font>
    <font>
      <sz val="11"/>
      <color theme="1" tint="0.499984740745262"/>
      <name val="Calibri"/>
      <family val="2"/>
      <scheme val="minor"/>
    </font>
    <font>
      <sz val="11"/>
      <name val="Calibri"/>
      <family val="2"/>
    </font>
    <font>
      <i/>
      <sz val="11"/>
      <color theme="3"/>
      <name val="Calibri"/>
      <family val="2"/>
      <scheme val="minor"/>
    </font>
    <font>
      <i/>
      <sz val="11"/>
      <color theme="3"/>
      <name val="Calibri"/>
      <family val="2"/>
    </font>
    <font>
      <b/>
      <sz val="10"/>
      <color theme="0"/>
      <name val="Calibri"/>
      <family val="2"/>
    </font>
    <font>
      <b/>
      <sz val="11"/>
      <color theme="3"/>
      <name val="Calibri"/>
      <family val="2"/>
    </font>
    <font>
      <i/>
      <sz val="11"/>
      <color theme="1"/>
      <name val="Calibri"/>
      <family val="2"/>
      <scheme val="minor"/>
    </font>
    <font>
      <sz val="11"/>
      <color theme="1"/>
      <name val="Calibri"/>
      <family val="2"/>
    </font>
    <font>
      <sz val="12"/>
      <color theme="4"/>
      <name val="Calibri"/>
      <family val="2"/>
      <scheme val="minor"/>
    </font>
    <font>
      <i/>
      <sz val="11"/>
      <color theme="1" tint="0.499984740745262"/>
      <name val="Calibri"/>
      <family val="2"/>
      <scheme val="minor"/>
    </font>
    <font>
      <sz val="18"/>
      <color theme="1" tint="0.499984740745262"/>
      <name val="Calibri Light"/>
      <family val="2"/>
      <scheme val="major"/>
    </font>
    <font>
      <i/>
      <sz val="16"/>
      <color theme="1" tint="0.499984740745262"/>
      <name val="Calibri Light"/>
      <family val="2"/>
      <scheme val="major"/>
    </font>
    <font>
      <sz val="20"/>
      <color theme="1" tint="0.249977111117893"/>
      <name val="Calibri Light"/>
      <family val="2"/>
      <scheme val="major"/>
    </font>
    <font>
      <sz val="12"/>
      <color theme="1" tint="0.249977111117893"/>
      <name val="Calibri Light"/>
      <family val="2"/>
      <scheme val="major"/>
    </font>
    <font>
      <sz val="14"/>
      <color theme="5" tint="-0.249977111117893"/>
      <name val="Calibri"/>
      <family val="2"/>
      <scheme val="minor"/>
    </font>
    <font>
      <sz val="11"/>
      <color theme="5" tint="-0.249977111117893"/>
      <name val="Calibri"/>
      <family val="2"/>
      <scheme val="minor"/>
    </font>
    <font>
      <sz val="18"/>
      <color theme="5" tint="-0.249977111117893"/>
      <name val="Calibri Light"/>
      <family val="2"/>
      <scheme val="major"/>
    </font>
    <font>
      <sz val="12"/>
      <color theme="5" tint="-0.249977111117893"/>
      <name val="Calibri"/>
      <family val="2"/>
      <scheme val="minor"/>
    </font>
    <font>
      <sz val="14"/>
      <color theme="1" tint="0.499984740745262"/>
      <name val="Calibri Light"/>
      <family val="2"/>
      <scheme val="major"/>
    </font>
    <font>
      <sz val="11"/>
      <color theme="1"/>
      <name val="Calibri"/>
      <family val="2"/>
      <scheme val="minor"/>
    </font>
    <font>
      <sz val="9"/>
      <color indexed="81"/>
      <name val="Tahoma"/>
      <family val="2"/>
    </font>
    <font>
      <b/>
      <sz val="9"/>
      <color indexed="81"/>
      <name val="Tahoma"/>
      <family val="2"/>
    </font>
    <font>
      <u/>
      <sz val="11"/>
      <color theme="1"/>
      <name val="Calibri"/>
      <family val="2"/>
      <scheme val="minor"/>
    </font>
    <font>
      <sz val="16"/>
      <color theme="1" tint="0.499984740745262"/>
      <name val="Calibri Light"/>
      <family val="2"/>
      <scheme val="major"/>
    </font>
    <font>
      <sz val="14"/>
      <color theme="9" tint="-0.499984740745262"/>
      <name val="Calibri Light"/>
      <family val="2"/>
      <scheme val="major"/>
    </font>
    <font>
      <sz val="18"/>
      <color theme="9" tint="-0.499984740745262"/>
      <name val="Calibri Light"/>
      <family val="2"/>
      <scheme val="major"/>
    </font>
    <font>
      <sz val="11"/>
      <color theme="9" tint="-0.499984740745262"/>
      <name val="Calibri"/>
      <family val="2"/>
      <scheme val="minor"/>
    </font>
    <font>
      <sz val="18"/>
      <color theme="4" tint="-0.249977111117893"/>
      <name val="Calibri Light"/>
      <family val="2"/>
      <scheme val="major"/>
    </font>
    <font>
      <sz val="11"/>
      <color theme="4" tint="-0.249977111117893"/>
      <name val="Calibri"/>
      <family val="2"/>
      <scheme val="minor"/>
    </font>
    <font>
      <sz val="16"/>
      <color theme="9" tint="-0.499984740745262"/>
      <name val="Calibri Light"/>
      <family val="2"/>
      <scheme val="major"/>
    </font>
    <font>
      <sz val="16"/>
      <color theme="4" tint="-0.249977111117893"/>
      <name val="Calibri Light"/>
      <family val="2"/>
      <scheme val="major"/>
    </font>
    <font>
      <sz val="16"/>
      <color theme="5" tint="-0.249977111117893"/>
      <name val="Calibri Light"/>
      <family val="2"/>
      <scheme val="major"/>
    </font>
    <font>
      <sz val="11"/>
      <color rgb="FF000000"/>
      <name val="Calibri"/>
      <family val="2"/>
    </font>
    <font>
      <sz val="10"/>
      <name val="Arial"/>
      <family val="2"/>
    </font>
    <font>
      <sz val="12"/>
      <color theme="3"/>
      <name val="Calibri"/>
      <family val="2"/>
      <scheme val="minor"/>
    </font>
    <font>
      <sz val="11"/>
      <color theme="4" tint="-0.249977111117893"/>
      <name val="Calibri"/>
      <family val="2"/>
    </font>
    <font>
      <i/>
      <sz val="11"/>
      <color theme="4" tint="-0.249977111117893"/>
      <name val="Calibri"/>
      <family val="2"/>
      <scheme val="minor"/>
    </font>
    <font>
      <b/>
      <sz val="10"/>
      <color theme="1" tint="0.24994659260841701"/>
      <name val="Calibri"/>
      <family val="2"/>
    </font>
    <font>
      <b/>
      <sz val="11"/>
      <color theme="5" tint="-0.249977111117893"/>
      <name val="Calibri"/>
      <family val="2"/>
      <scheme val="minor"/>
    </font>
    <font>
      <b/>
      <sz val="11"/>
      <color theme="9" tint="-0.249977111117893"/>
      <name val="Calibri"/>
      <family val="2"/>
      <scheme val="minor"/>
    </font>
    <font>
      <b/>
      <sz val="11"/>
      <color theme="3" tint="0.39997558519241921"/>
      <name val="Calibri"/>
      <family val="2"/>
      <scheme val="minor"/>
    </font>
    <font>
      <b/>
      <sz val="11"/>
      <color theme="3" tint="-0.249977111117893"/>
      <name val="Calibri"/>
      <family val="2"/>
      <scheme val="minor"/>
    </font>
    <font>
      <u/>
      <sz val="11"/>
      <color theme="10"/>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indexed="8"/>
        <bgColor indexed="64"/>
      </patternFill>
    </fill>
    <fill>
      <patternFill patternType="solid">
        <fgColor theme="6" tint="0.79998168889431442"/>
        <bgColor indexed="64"/>
      </patternFill>
    </fill>
    <fill>
      <gradientFill degree="90">
        <stop position="0">
          <color theme="4" tint="0.40000610370189521"/>
        </stop>
        <stop position="0.5">
          <color theme="3"/>
        </stop>
        <stop position="1">
          <color theme="4" tint="0.40000610370189521"/>
        </stop>
      </gradientFill>
    </fill>
    <fill>
      <patternFill patternType="solid">
        <fgColor theme="7" tint="0.79998168889431442"/>
        <bgColor indexed="64"/>
      </patternFill>
    </fill>
  </fills>
  <borders count="94">
    <border>
      <left/>
      <right/>
      <top/>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bottom style="medium">
        <color theme="3"/>
      </bottom>
      <diagonal/>
    </border>
    <border>
      <left/>
      <right/>
      <top/>
      <bottom style="thin">
        <color theme="3"/>
      </bottom>
      <diagonal/>
    </border>
    <border>
      <left style="hair">
        <color theme="0" tint="-0.34998626667073579"/>
      </left>
      <right style="hair">
        <color theme="0" tint="-0.34998626667073579"/>
      </right>
      <top/>
      <bottom style="hair">
        <color theme="0" tint="-0.34998626667073579"/>
      </bottom>
      <diagonal/>
    </border>
    <border>
      <left/>
      <right style="hair">
        <color theme="0" tint="-0.34998626667073579"/>
      </right>
      <top/>
      <bottom style="hair">
        <color theme="0" tint="-0.34998626667073579"/>
      </bottom>
      <diagonal/>
    </border>
    <border>
      <left/>
      <right style="hair">
        <color theme="0" tint="-0.34998626667073579"/>
      </right>
      <top style="hair">
        <color theme="0" tint="-0.34998626667073579"/>
      </top>
      <bottom style="hair">
        <color theme="0" tint="-0.34998626667073579"/>
      </bottom>
      <diagonal/>
    </border>
    <border>
      <left/>
      <right/>
      <top/>
      <bottom style="hair">
        <color theme="3"/>
      </bottom>
      <diagonal/>
    </border>
    <border>
      <left style="hair">
        <color theme="0" tint="-0.34998626667073579"/>
      </left>
      <right style="hair">
        <color theme="0" tint="-0.34998626667073579"/>
      </right>
      <top style="hair">
        <color theme="0" tint="-0.34998626667073579"/>
      </top>
      <bottom/>
      <diagonal/>
    </border>
    <border>
      <left style="hair">
        <color theme="0" tint="-0.34998626667073579"/>
      </left>
      <right style="hair">
        <color theme="0" tint="-0.34998626667073579"/>
      </right>
      <top/>
      <bottom/>
      <diagonal/>
    </border>
    <border>
      <left/>
      <right style="hair">
        <color theme="0" tint="-0.34998626667073579"/>
      </right>
      <top style="hair">
        <color theme="0" tint="-0.34998626667073579"/>
      </top>
      <bottom/>
      <diagonal/>
    </border>
    <border>
      <left/>
      <right style="hair">
        <color theme="3"/>
      </right>
      <top style="thin">
        <color theme="3"/>
      </top>
      <bottom/>
      <diagonal/>
    </border>
    <border>
      <left/>
      <right style="hair">
        <color theme="3"/>
      </right>
      <top/>
      <bottom style="thin">
        <color theme="3"/>
      </bottom>
      <diagonal/>
    </border>
    <border>
      <left/>
      <right style="hair">
        <color theme="3"/>
      </right>
      <top/>
      <bottom/>
      <diagonal/>
    </border>
    <border>
      <left style="hair">
        <color theme="3"/>
      </left>
      <right style="hair">
        <color theme="3"/>
      </right>
      <top style="thin">
        <color theme="3"/>
      </top>
      <bottom/>
      <diagonal/>
    </border>
    <border>
      <left/>
      <right style="hair">
        <color theme="0" tint="-0.34998626667073579"/>
      </right>
      <top/>
      <bottom/>
      <diagonal/>
    </border>
    <border>
      <left style="hair">
        <color theme="3"/>
      </left>
      <right style="hair">
        <color theme="3"/>
      </right>
      <top/>
      <bottom style="thin">
        <color theme="3"/>
      </bottom>
      <diagonal/>
    </border>
    <border>
      <left style="hair">
        <color theme="3"/>
      </left>
      <right style="hair">
        <color theme="3"/>
      </right>
      <top/>
      <bottom/>
      <diagonal/>
    </border>
    <border>
      <left style="hair">
        <color theme="0" tint="-0.34998626667073579"/>
      </left>
      <right style="hair">
        <color theme="3"/>
      </right>
      <top/>
      <bottom style="hair">
        <color theme="0" tint="-0.34998626667073579"/>
      </bottom>
      <diagonal/>
    </border>
    <border>
      <left style="hair">
        <color theme="0" tint="-0.34998626667073579"/>
      </left>
      <right style="hair">
        <color theme="3"/>
      </right>
      <top style="hair">
        <color theme="0" tint="-0.34998626667073579"/>
      </top>
      <bottom style="hair">
        <color theme="0" tint="-0.34998626667073579"/>
      </bottom>
      <diagonal/>
    </border>
    <border>
      <left style="hair">
        <color theme="0" tint="-0.34998626667073579"/>
      </left>
      <right style="hair">
        <color theme="3"/>
      </right>
      <top style="hair">
        <color theme="0" tint="-0.34998626667073579"/>
      </top>
      <bottom/>
      <diagonal/>
    </border>
    <border>
      <left style="hair">
        <color theme="3"/>
      </left>
      <right style="hair">
        <color theme="3"/>
      </right>
      <top/>
      <bottom style="hair">
        <color theme="3"/>
      </bottom>
      <diagonal/>
    </border>
    <border>
      <left style="hair">
        <color theme="3"/>
      </left>
      <right/>
      <top/>
      <bottom style="thin">
        <color theme="3"/>
      </bottom>
      <diagonal/>
    </border>
    <border>
      <left/>
      <right/>
      <top style="thin">
        <color theme="3"/>
      </top>
      <bottom style="hair">
        <color theme="1" tint="0.499984740745262"/>
      </bottom>
      <diagonal/>
    </border>
    <border>
      <left/>
      <right style="hair">
        <color theme="1" tint="0.499984740745262"/>
      </right>
      <top style="thin">
        <color theme="3"/>
      </top>
      <bottom style="hair">
        <color theme="1" tint="0.499984740745262"/>
      </bottom>
      <diagonal/>
    </border>
    <border>
      <left/>
      <right/>
      <top/>
      <bottom style="thin">
        <color theme="0" tint="-0.499984740745262"/>
      </bottom>
      <diagonal/>
    </border>
    <border>
      <left/>
      <right style="hair">
        <color theme="0" tint="-0.249977111117893"/>
      </right>
      <top/>
      <bottom/>
      <diagonal/>
    </border>
    <border>
      <left/>
      <right/>
      <top/>
      <bottom style="thin">
        <color theme="0" tint="-0.249977111117893"/>
      </bottom>
      <diagonal/>
    </border>
    <border>
      <left/>
      <right/>
      <top/>
      <bottom style="hair">
        <color theme="0" tint="-0.249977111117893"/>
      </bottom>
      <diagonal/>
    </border>
    <border>
      <left/>
      <right style="dotted">
        <color theme="0" tint="-0.249977111117893"/>
      </right>
      <top style="thin">
        <color theme="0" tint="-0.249977111117893"/>
      </top>
      <bottom style="thin">
        <color theme="0" tint="-0.249977111117893"/>
      </bottom>
      <diagonal/>
    </border>
    <border>
      <left/>
      <right style="dotted">
        <color theme="0" tint="-0.249977111117893"/>
      </right>
      <top/>
      <bottom/>
      <diagonal/>
    </border>
    <border>
      <left/>
      <right style="dotted">
        <color theme="0" tint="-0.249977111117893"/>
      </right>
      <top/>
      <bottom style="hair">
        <color theme="0" tint="-0.249977111117893"/>
      </bottom>
      <diagonal/>
    </border>
    <border>
      <left/>
      <right style="dotted">
        <color theme="0" tint="-0.249977111117893"/>
      </right>
      <top/>
      <bottom style="thin">
        <color theme="0" tint="-0.249977111117893"/>
      </bottom>
      <diagonal/>
    </border>
    <border>
      <left/>
      <right/>
      <top/>
      <bottom style="thin">
        <color theme="1" tint="0.499984740745262"/>
      </bottom>
      <diagonal/>
    </border>
    <border>
      <left/>
      <right style="hair">
        <color theme="0" tint="-0.249977111117893"/>
      </right>
      <top/>
      <bottom style="thin">
        <color theme="1" tint="0.499984740745262"/>
      </bottom>
      <diagonal/>
    </border>
    <border>
      <left/>
      <right style="hair">
        <color theme="0" tint="-0.249977111117893"/>
      </right>
      <top style="thin">
        <color theme="1" tint="0.499984740745262"/>
      </top>
      <bottom/>
      <diagonal/>
    </border>
    <border>
      <left/>
      <right/>
      <top style="thin">
        <color theme="1" tint="0.499984740745262"/>
      </top>
      <bottom/>
      <diagonal/>
    </border>
    <border>
      <left/>
      <right/>
      <top/>
      <bottom style="hair">
        <color theme="1" tint="0.499984740745262"/>
      </bottom>
      <diagonal/>
    </border>
    <border>
      <left style="hair">
        <color theme="0" tint="-0.34998626667073579"/>
      </left>
      <right style="dotted">
        <color theme="0" tint="-0.249977111117893"/>
      </right>
      <top style="hair">
        <color theme="0" tint="-0.34998626667073579"/>
      </top>
      <bottom style="hair">
        <color theme="0" tint="-0.34998626667073579"/>
      </bottom>
      <diagonal/>
    </border>
    <border>
      <left style="dotted">
        <color theme="0" tint="-0.249977111117893"/>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dotted">
        <color theme="0" tint="-0.249977111117893"/>
      </right>
      <top style="thin">
        <color theme="1" tint="0.499984740745262"/>
      </top>
      <bottom style="thin">
        <color theme="0" tint="-0.499984740745262"/>
      </bottom>
      <diagonal/>
    </border>
    <border>
      <left style="dotted">
        <color theme="0" tint="-0.249977111117893"/>
      </left>
      <right/>
      <top/>
      <bottom style="thin">
        <color theme="0" tint="-0.499984740745262"/>
      </bottom>
      <diagonal/>
    </border>
    <border>
      <left/>
      <right style="dotted">
        <color theme="0" tint="-0.249977111117893"/>
      </right>
      <top/>
      <bottom style="thin">
        <color theme="0" tint="-0.499984740745262"/>
      </bottom>
      <diagonal/>
    </border>
    <border>
      <left/>
      <right/>
      <top/>
      <bottom style="thin">
        <color theme="5" tint="-0.249977111117893"/>
      </bottom>
      <diagonal/>
    </border>
    <border>
      <left/>
      <right style="dotted">
        <color theme="0" tint="-0.249977111117893"/>
      </right>
      <top style="hair">
        <color theme="0" tint="-0.34998626667073579"/>
      </top>
      <bottom/>
      <diagonal/>
    </border>
    <border>
      <left style="dotted">
        <color theme="0" tint="-0.249977111117893"/>
      </left>
      <right/>
      <top style="hair">
        <color theme="0" tint="-0.34998626667073579"/>
      </top>
      <bottom/>
      <diagonal/>
    </border>
    <border>
      <left style="dotted">
        <color theme="0" tint="-0.249977111117893"/>
      </left>
      <right style="dotted">
        <color theme="0" tint="-0.249977111117893"/>
      </right>
      <top/>
      <bottom style="hair">
        <color theme="0" tint="-0.249977111117893"/>
      </bottom>
      <diagonal/>
    </border>
    <border>
      <left style="dotted">
        <color theme="0" tint="-0.249977111117893"/>
      </left>
      <right/>
      <top/>
      <bottom style="hair">
        <color theme="0" tint="-0.249977111117893"/>
      </bottom>
      <diagonal/>
    </border>
    <border>
      <left style="hair">
        <color theme="0" tint="-0.34998626667073579"/>
      </left>
      <right style="hair">
        <color theme="0" tint="-0.34998626667073579"/>
      </right>
      <top style="hair">
        <color theme="0" tint="-0.34998626667073579"/>
      </top>
      <bottom style="thin">
        <color theme="0" tint="-0.249977111117893"/>
      </bottom>
      <diagonal/>
    </border>
    <border>
      <left style="hair">
        <color theme="0" tint="-0.34998626667073579"/>
      </left>
      <right style="dotted">
        <color theme="0" tint="-0.249977111117893"/>
      </right>
      <top/>
      <bottom style="hair">
        <color theme="0" tint="-0.34998626667073579"/>
      </bottom>
      <diagonal/>
    </border>
    <border>
      <left style="dotted">
        <color theme="0" tint="-0.249977111117893"/>
      </left>
      <right/>
      <top/>
      <bottom/>
      <diagonal/>
    </border>
    <border>
      <left/>
      <right style="dotted">
        <color theme="0" tint="-0.249977111117893"/>
      </right>
      <top style="hair">
        <color theme="0" tint="-0.249977111117893"/>
      </top>
      <bottom/>
      <diagonal/>
    </border>
    <border>
      <left style="dotted">
        <color theme="0" tint="-0.249977111117893"/>
      </left>
      <right style="dotted">
        <color theme="0" tint="-0.249977111117893"/>
      </right>
      <top style="thin">
        <color theme="0" tint="-0.249977111117893"/>
      </top>
      <bottom style="thin">
        <color theme="0" tint="-0.249977111117893"/>
      </bottom>
      <diagonal/>
    </border>
    <border>
      <left style="dotted">
        <color theme="0" tint="-0.249977111117893"/>
      </left>
      <right style="dotted">
        <color theme="0" tint="-0.249977111117893"/>
      </right>
      <top/>
      <bottom/>
      <diagonal/>
    </border>
    <border>
      <left style="dotted">
        <color theme="0" tint="-0.249977111117893"/>
      </left>
      <right style="dotted">
        <color theme="0" tint="-0.249977111117893"/>
      </right>
      <top/>
      <bottom style="thin">
        <color theme="0" tint="-0.249977111117893"/>
      </bottom>
      <diagonal/>
    </border>
    <border>
      <left style="dotted">
        <color theme="0" tint="-0.249977111117893"/>
      </left>
      <right style="dotted">
        <color theme="0" tint="-0.249977111117893"/>
      </right>
      <top style="hair">
        <color theme="0" tint="-0.34998626667073579"/>
      </top>
      <bottom style="hair">
        <color theme="0" tint="-0.34998626667073579"/>
      </bottom>
      <diagonal/>
    </border>
    <border>
      <left style="dotted">
        <color theme="0" tint="-0.249977111117893"/>
      </left>
      <right/>
      <top/>
      <bottom style="hair">
        <color theme="0" tint="-0.34998626667073579"/>
      </bottom>
      <diagonal/>
    </border>
    <border>
      <left/>
      <right style="dotted">
        <color theme="0" tint="-0.249977111117893"/>
      </right>
      <top/>
      <bottom style="hair">
        <color theme="0" tint="-0.34998626667073579"/>
      </bottom>
      <diagonal/>
    </border>
    <border>
      <left/>
      <right style="thin">
        <color theme="0" tint="-0.249977111117893"/>
      </right>
      <top style="thin">
        <color theme="0" tint="-0.249977111117893"/>
      </top>
      <bottom style="thin">
        <color theme="0" tint="-0.249977111117893"/>
      </bottom>
      <diagonal/>
    </border>
    <border>
      <left/>
      <right style="thin">
        <color theme="0" tint="-0.249977111117893"/>
      </right>
      <top/>
      <bottom/>
      <diagonal/>
    </border>
    <border>
      <left/>
      <right style="thin">
        <color theme="0" tint="-0.249977111117893"/>
      </right>
      <top/>
      <bottom style="hair">
        <color theme="0" tint="-0.249977111117893"/>
      </bottom>
      <diagonal/>
    </border>
    <border>
      <left/>
      <right style="thin">
        <color theme="0" tint="-0.249977111117893"/>
      </right>
      <top style="hair">
        <color theme="0" tint="-0.249977111117893"/>
      </top>
      <bottom/>
      <diagonal/>
    </border>
    <border>
      <left/>
      <right style="thin">
        <color theme="0" tint="-0.249977111117893"/>
      </right>
      <top/>
      <bottom style="thin">
        <color theme="0" tint="-0.249977111117893"/>
      </bottom>
      <diagonal/>
    </border>
    <border>
      <left style="thin">
        <color theme="0" tint="-0.249977111117893"/>
      </left>
      <right style="dotted">
        <color theme="0" tint="-0.249977111117893"/>
      </right>
      <top style="thin">
        <color theme="0" tint="-0.249977111117893"/>
      </top>
      <bottom style="thin">
        <color theme="0" tint="-0.249977111117893"/>
      </bottom>
      <diagonal/>
    </border>
    <border>
      <left style="thin">
        <color theme="0" tint="-0.249977111117893"/>
      </left>
      <right style="dotted">
        <color theme="0" tint="-0.249977111117893"/>
      </right>
      <top/>
      <bottom/>
      <diagonal/>
    </border>
    <border>
      <left style="thin">
        <color theme="0" tint="-0.249977111117893"/>
      </left>
      <right style="dotted">
        <color theme="0" tint="-0.249977111117893"/>
      </right>
      <top/>
      <bottom style="hair">
        <color theme="0" tint="-0.249977111117893"/>
      </bottom>
      <diagonal/>
    </border>
    <border>
      <left style="thin">
        <color theme="0" tint="-0.249977111117893"/>
      </left>
      <right style="dotted">
        <color theme="0" tint="-0.249977111117893"/>
      </right>
      <top/>
      <bottom style="thin">
        <color theme="0" tint="-0.249977111117893"/>
      </bottom>
      <diagonal/>
    </border>
    <border>
      <left/>
      <right style="dotted">
        <color theme="0" tint="-0.249977111117893"/>
      </right>
      <top style="thin">
        <color theme="3"/>
      </top>
      <bottom style="hair">
        <color theme="1" tint="0.499984740745262"/>
      </bottom>
      <diagonal/>
    </border>
    <border>
      <left/>
      <right style="dotted">
        <color theme="0" tint="-0.249977111117893"/>
      </right>
      <top/>
      <bottom style="thin">
        <color theme="3"/>
      </bottom>
      <diagonal/>
    </border>
    <border>
      <left/>
      <right style="dotted">
        <color theme="0" tint="-0.249977111117893"/>
      </right>
      <top/>
      <bottom style="hair">
        <color theme="3"/>
      </bottom>
      <diagonal/>
    </border>
    <border>
      <left style="hair">
        <color theme="1" tint="0.499984740745262"/>
      </left>
      <right style="dotted">
        <color theme="0" tint="-0.249977111117893"/>
      </right>
      <top style="thin">
        <color theme="3"/>
      </top>
      <bottom style="hair">
        <color theme="1" tint="0.499984740745262"/>
      </bottom>
      <diagonal/>
    </border>
    <border>
      <left style="dotted">
        <color theme="0" tint="-0.249977111117893"/>
      </left>
      <right style="dotted">
        <color theme="0" tint="-0.249977111117893"/>
      </right>
      <top style="thin">
        <color theme="3"/>
      </top>
      <bottom style="hair">
        <color theme="1" tint="0.499984740745262"/>
      </bottom>
      <diagonal/>
    </border>
    <border>
      <left style="dotted">
        <color theme="0" tint="-0.249977111117893"/>
      </left>
      <right style="dotted">
        <color theme="0" tint="-0.249977111117893"/>
      </right>
      <top/>
      <bottom style="thin">
        <color theme="3"/>
      </bottom>
      <diagonal/>
    </border>
    <border>
      <left style="dotted">
        <color theme="0" tint="-0.249977111117893"/>
      </left>
      <right style="dotted">
        <color theme="0" tint="-0.249977111117893"/>
      </right>
      <top/>
      <bottom style="hair">
        <color theme="3"/>
      </bottom>
      <diagonal/>
    </border>
    <border>
      <left/>
      <right/>
      <top style="thin">
        <color theme="0" tint="-0.499984740745262"/>
      </top>
      <bottom/>
      <diagonal/>
    </border>
    <border>
      <left style="hair">
        <color theme="0" tint="-0.34998626667073579"/>
      </left>
      <right/>
      <top/>
      <bottom style="thin">
        <color theme="0" tint="-0.249977111117893"/>
      </bottom>
      <diagonal/>
    </border>
    <border>
      <left/>
      <right/>
      <top/>
      <bottom style="dotted">
        <color theme="0" tint="-0.249977111117893"/>
      </bottom>
      <diagonal/>
    </border>
    <border>
      <left/>
      <right style="dotted">
        <color theme="0" tint="-0.249977111117893"/>
      </right>
      <top style="dotted">
        <color theme="0" tint="-0.249977111117893"/>
      </top>
      <bottom style="thin">
        <color theme="0" tint="-0.499984740745262"/>
      </bottom>
      <diagonal/>
    </border>
    <border>
      <left/>
      <right/>
      <top/>
      <bottom style="thin">
        <color theme="9" tint="-0.249977111117893"/>
      </bottom>
      <diagonal/>
    </border>
    <border>
      <left/>
      <right/>
      <top/>
      <bottom style="thin">
        <color theme="4" tint="-0.249977111117893"/>
      </bottom>
      <diagonal/>
    </border>
    <border>
      <left/>
      <right/>
      <top style="thin">
        <color theme="3"/>
      </top>
      <bottom style="thin">
        <color theme="3"/>
      </bottom>
      <diagonal/>
    </border>
    <border>
      <left/>
      <right/>
      <top style="thin">
        <color theme="3"/>
      </top>
      <bottom/>
      <diagonal/>
    </border>
    <border>
      <left/>
      <right/>
      <top/>
      <bottom style="thin">
        <color theme="4" tint="0.39997558519241921"/>
      </bottom>
      <diagonal/>
    </border>
    <border>
      <left style="hair">
        <color theme="3"/>
      </left>
      <right/>
      <top style="hair">
        <color theme="3"/>
      </top>
      <bottom/>
      <diagonal/>
    </border>
    <border>
      <left/>
      <right/>
      <top style="hair">
        <color theme="3"/>
      </top>
      <bottom/>
      <diagonal/>
    </border>
    <border>
      <left/>
      <right style="hair">
        <color theme="3"/>
      </right>
      <top style="hair">
        <color theme="3"/>
      </top>
      <bottom/>
      <diagonal/>
    </border>
    <border>
      <left style="hair">
        <color theme="3"/>
      </left>
      <right/>
      <top/>
      <bottom/>
      <diagonal/>
    </border>
    <border>
      <left/>
      <right style="hair">
        <color theme="3"/>
      </right>
      <top style="thin">
        <color theme="3"/>
      </top>
      <bottom style="thin">
        <color theme="3"/>
      </bottom>
      <diagonal/>
    </border>
    <border>
      <left style="hair">
        <color theme="3"/>
      </left>
      <right/>
      <top/>
      <bottom style="hair">
        <color theme="3"/>
      </bottom>
      <diagonal/>
    </border>
    <border>
      <left/>
      <right style="hair">
        <color theme="3"/>
      </right>
      <top/>
      <bottom style="hair">
        <color theme="3"/>
      </bottom>
      <diagonal/>
    </border>
    <border>
      <left/>
      <right style="hair">
        <color theme="0" tint="-0.499984740745262"/>
      </right>
      <top style="thin">
        <color theme="0" tint="-0.499984740745262"/>
      </top>
      <bottom/>
      <diagonal/>
    </border>
    <border>
      <left/>
      <right style="hair">
        <color theme="0" tint="-0.499984740745262"/>
      </right>
      <top/>
      <bottom style="hair">
        <color theme="0" tint="-0.499984740745262"/>
      </bottom>
      <diagonal/>
    </border>
    <border>
      <left/>
      <right/>
      <top/>
      <bottom style="hair">
        <color theme="0" tint="-0.499984740745262"/>
      </bottom>
      <diagonal/>
    </border>
  </borders>
  <cellStyleXfs count="11">
    <xf numFmtId="0" fontId="0" fillId="0" borderId="0"/>
    <xf numFmtId="0" fontId="3" fillId="2" borderId="1" applyNumberFormat="0" applyAlignment="0">
      <protection locked="0"/>
    </xf>
    <xf numFmtId="49" fontId="4" fillId="3" borderId="2" applyFill="0" applyProtection="0">
      <alignment horizontal="left"/>
    </xf>
    <xf numFmtId="49" fontId="5" fillId="3" borderId="3" applyNumberFormat="0" applyFill="0" applyAlignment="0" applyProtection="0">
      <alignment horizontal="left"/>
    </xf>
    <xf numFmtId="0" fontId="3" fillId="4" borderId="1" applyNumberFormat="0" applyAlignment="0" applyProtection="0">
      <protection locked="0"/>
    </xf>
    <xf numFmtId="49" fontId="5" fillId="3" borderId="3" applyNumberFormat="0" applyFill="0" applyAlignment="0" applyProtection="0">
      <alignment horizontal="left"/>
    </xf>
    <xf numFmtId="49" fontId="6" fillId="5" borderId="3" applyNumberFormat="0" applyProtection="0">
      <alignment horizontal="left" vertical="center"/>
    </xf>
    <xf numFmtId="49" fontId="5" fillId="3" borderId="3" applyNumberFormat="0" applyFill="0" applyAlignment="0" applyProtection="0">
      <alignment horizontal="left"/>
    </xf>
    <xf numFmtId="0" fontId="45" fillId="0" borderId="0">
      <alignment horizontal="left" wrapText="1"/>
    </xf>
    <xf numFmtId="0" fontId="31" fillId="0" borderId="0"/>
    <xf numFmtId="0" fontId="54" fillId="0" borderId="0" applyNumberFormat="0" applyFill="0" applyBorder="0" applyAlignment="0" applyProtection="0"/>
  </cellStyleXfs>
  <cellXfs count="487">
    <xf numFmtId="0" fontId="0" fillId="0" borderId="0" xfId="0"/>
    <xf numFmtId="9" fontId="0" fillId="0" borderId="0" xfId="0" applyNumberFormat="1"/>
    <xf numFmtId="11" fontId="0" fillId="0" borderId="0" xfId="0" applyNumberFormat="1"/>
    <xf numFmtId="0" fontId="0" fillId="0" borderId="0" xfId="0" applyAlignment="1">
      <alignment horizontal="left" indent="1"/>
    </xf>
    <xf numFmtId="0" fontId="3" fillId="2" borderId="1" xfId="1">
      <protection locked="0"/>
    </xf>
    <xf numFmtId="9" fontId="3" fillId="2" borderId="1" xfId="1" applyNumberFormat="1">
      <protection locked="0"/>
    </xf>
    <xf numFmtId="0" fontId="0" fillId="0" borderId="0" xfId="0" applyBorder="1"/>
    <xf numFmtId="11" fontId="0" fillId="0" borderId="0" xfId="0" applyNumberFormat="1" applyBorder="1" applyAlignment="1">
      <alignment horizontal="right"/>
    </xf>
    <xf numFmtId="164" fontId="0" fillId="0" borderId="0" xfId="0" applyNumberFormat="1" applyBorder="1"/>
    <xf numFmtId="0" fontId="0" fillId="0" borderId="0" xfId="0" applyFont="1" applyBorder="1" applyAlignment="1">
      <alignment horizontal="left" indent="1"/>
    </xf>
    <xf numFmtId="0" fontId="0" fillId="0" borderId="0" xfId="0" applyFont="1" applyBorder="1"/>
    <xf numFmtId="11" fontId="7" fillId="0" borderId="0" xfId="0" applyNumberFormat="1" applyFont="1" applyFill="1" applyBorder="1" applyAlignment="1">
      <alignment horizontal="right"/>
    </xf>
    <xf numFmtId="11" fontId="8" fillId="0" borderId="0" xfId="0" applyNumberFormat="1" applyFont="1" applyFill="1" applyBorder="1" applyAlignment="1">
      <alignment horizontal="right"/>
    </xf>
    <xf numFmtId="11" fontId="2" fillId="0" borderId="0" xfId="0" applyNumberFormat="1" applyFont="1" applyFill="1" applyBorder="1"/>
    <xf numFmtId="0" fontId="0" fillId="0" borderId="0" xfId="0" applyFont="1" applyFill="1" applyBorder="1" applyAlignment="1">
      <alignment horizontal="left" indent="1"/>
    </xf>
    <xf numFmtId="11" fontId="9" fillId="0" borderId="0" xfId="0" applyNumberFormat="1" applyFont="1" applyFill="1" applyBorder="1" applyAlignment="1">
      <alignment horizontal="right"/>
    </xf>
    <xf numFmtId="164" fontId="0" fillId="0" borderId="0" xfId="0" applyNumberFormat="1" applyFont="1" applyFill="1" applyBorder="1" applyAlignment="1">
      <alignment horizontal="right"/>
    </xf>
    <xf numFmtId="11" fontId="0" fillId="0" borderId="0" xfId="0" applyNumberFormat="1" applyFont="1" applyBorder="1" applyAlignment="1">
      <alignment horizontal="right"/>
    </xf>
    <xf numFmtId="165" fontId="0" fillId="0" borderId="0" xfId="0" applyNumberFormat="1"/>
    <xf numFmtId="2" fontId="0" fillId="0" borderId="0" xfId="0" applyNumberFormat="1"/>
    <xf numFmtId="166" fontId="0" fillId="0" borderId="0" xfId="0" applyNumberFormat="1"/>
    <xf numFmtId="0" fontId="0" fillId="0" borderId="0" xfId="0" applyAlignment="1">
      <alignment horizontal="right"/>
    </xf>
    <xf numFmtId="11" fontId="0" fillId="0" borderId="0" xfId="0" applyNumberFormat="1" applyAlignment="1">
      <alignment horizontal="right"/>
    </xf>
    <xf numFmtId="0" fontId="0" fillId="0" borderId="0" xfId="0" applyFill="1"/>
    <xf numFmtId="167" fontId="0" fillId="0" borderId="0" xfId="0" applyNumberFormat="1"/>
    <xf numFmtId="3" fontId="0" fillId="0" borderId="0" xfId="0" applyNumberFormat="1"/>
    <xf numFmtId="0" fontId="0" fillId="0" borderId="0" xfId="0" applyNumberFormat="1"/>
    <xf numFmtId="2" fontId="3" fillId="2" borderId="1" xfId="1" applyNumberFormat="1">
      <protection locked="0"/>
    </xf>
    <xf numFmtId="0" fontId="5" fillId="0" borderId="3" xfId="3" applyNumberFormat="1" applyFill="1" applyAlignment="1"/>
    <xf numFmtId="0" fontId="5" fillId="0" borderId="3" xfId="3" applyNumberFormat="1" applyFill="1" applyAlignment="1">
      <alignment horizontal="right"/>
    </xf>
    <xf numFmtId="0" fontId="3" fillId="2" borderId="5" xfId="1" applyBorder="1">
      <protection locked="0"/>
    </xf>
    <xf numFmtId="0" fontId="3" fillId="2" borderId="6" xfId="1" applyBorder="1">
      <protection locked="0"/>
    </xf>
    <xf numFmtId="0" fontId="11" fillId="0" borderId="0" xfId="0" applyFont="1"/>
    <xf numFmtId="0" fontId="11" fillId="0" borderId="3" xfId="0" applyFont="1" applyBorder="1"/>
    <xf numFmtId="0" fontId="11" fillId="0" borderId="3" xfId="0" applyFont="1" applyBorder="1" applyAlignment="1">
      <alignment horizontal="right"/>
    </xf>
    <xf numFmtId="0" fontId="0" fillId="0" borderId="0" xfId="0" applyFill="1" applyBorder="1"/>
    <xf numFmtId="0" fontId="0" fillId="0" borderId="0" xfId="0" applyFill="1" applyBorder="1" applyAlignment="1">
      <alignment horizontal="left"/>
    </xf>
    <xf numFmtId="0" fontId="0" fillId="0" borderId="0" xfId="0" applyFill="1" applyBorder="1" applyAlignment="1">
      <alignment horizontal="right"/>
    </xf>
    <xf numFmtId="0" fontId="0" fillId="0" borderId="0" xfId="0" applyNumberFormat="1" applyFill="1" applyBorder="1" applyAlignment="1">
      <alignment horizontal="right"/>
    </xf>
    <xf numFmtId="164" fontId="0" fillId="0" borderId="0" xfId="0" applyNumberFormat="1" applyFill="1" applyBorder="1" applyAlignment="1">
      <alignment horizontal="right"/>
    </xf>
    <xf numFmtId="11" fontId="5" fillId="0" borderId="3" xfId="3" applyNumberFormat="1" applyFill="1" applyAlignment="1">
      <alignment horizontal="right"/>
    </xf>
    <xf numFmtId="11" fontId="10" fillId="0" borderId="3" xfId="3" applyNumberFormat="1" applyFont="1" applyFill="1" applyAlignment="1">
      <alignment horizontal="right"/>
    </xf>
    <xf numFmtId="0" fontId="0" fillId="0" borderId="7" xfId="0" applyBorder="1"/>
    <xf numFmtId="11" fontId="8" fillId="0" borderId="7" xfId="0" applyNumberFormat="1" applyFont="1" applyFill="1" applyBorder="1" applyAlignment="1">
      <alignment horizontal="right"/>
    </xf>
    <xf numFmtId="0" fontId="0" fillId="0" borderId="7" xfId="0" applyFill="1" applyBorder="1"/>
    <xf numFmtId="0" fontId="0" fillId="0" borderId="7" xfId="0" applyFont="1" applyBorder="1" applyAlignment="1">
      <alignment horizontal="left" indent="1"/>
    </xf>
    <xf numFmtId="0" fontId="0" fillId="0" borderId="7" xfId="0" applyFont="1" applyBorder="1"/>
    <xf numFmtId="11" fontId="9" fillId="0" borderId="7" xfId="0" applyNumberFormat="1" applyFont="1" applyFill="1" applyBorder="1" applyAlignment="1">
      <alignment horizontal="right"/>
    </xf>
    <xf numFmtId="168" fontId="0" fillId="0" borderId="0" xfId="0" applyNumberFormat="1"/>
    <xf numFmtId="169" fontId="0" fillId="0" borderId="0" xfId="0" applyNumberFormat="1"/>
    <xf numFmtId="0" fontId="11" fillId="0" borderId="0" xfId="0" applyFont="1" applyBorder="1" applyAlignment="1">
      <alignment horizontal="center"/>
    </xf>
    <xf numFmtId="0" fontId="3" fillId="0" borderId="4" xfId="1" applyFill="1" applyBorder="1">
      <protection locked="0"/>
    </xf>
    <xf numFmtId="0" fontId="3" fillId="0" borderId="8" xfId="1" applyFill="1" applyBorder="1">
      <protection locked="0"/>
    </xf>
    <xf numFmtId="0" fontId="3" fillId="0" borderId="9" xfId="1" applyFill="1" applyBorder="1">
      <protection locked="0"/>
    </xf>
    <xf numFmtId="0" fontId="3" fillId="0" borderId="0" xfId="1" applyFill="1" applyBorder="1">
      <protection locked="0"/>
    </xf>
    <xf numFmtId="0" fontId="3" fillId="0" borderId="10" xfId="1" applyFill="1" applyBorder="1">
      <protection locked="0"/>
    </xf>
    <xf numFmtId="11" fontId="0" fillId="0" borderId="0" xfId="0" applyNumberFormat="1" applyBorder="1"/>
    <xf numFmtId="0" fontId="0" fillId="0" borderId="3" xfId="0" applyFont="1" applyBorder="1" applyAlignment="1">
      <alignment horizontal="left" indent="1"/>
    </xf>
    <xf numFmtId="0" fontId="0" fillId="0" borderId="3" xfId="0" applyFont="1" applyBorder="1"/>
    <xf numFmtId="11" fontId="8" fillId="0" borderId="3" xfId="0" applyNumberFormat="1" applyFont="1" applyFill="1" applyBorder="1" applyAlignment="1">
      <alignment horizontal="right"/>
    </xf>
    <xf numFmtId="0" fontId="0" fillId="0" borderId="0" xfId="0" applyFont="1" applyFill="1" applyBorder="1" applyAlignment="1">
      <alignment horizontal="right"/>
    </xf>
    <xf numFmtId="0" fontId="13" fillId="0" borderId="0" xfId="3" applyNumberFormat="1" applyFont="1" applyFill="1" applyBorder="1" applyAlignment="1">
      <alignment horizontal="left"/>
    </xf>
    <xf numFmtId="0" fontId="13" fillId="0" borderId="0" xfId="3" applyNumberFormat="1" applyFont="1" applyFill="1" applyBorder="1" applyAlignment="1"/>
    <xf numFmtId="11" fontId="13" fillId="0" borderId="0" xfId="3" applyNumberFormat="1" applyFont="1" applyFill="1" applyBorder="1" applyAlignment="1">
      <alignment horizontal="right"/>
    </xf>
    <xf numFmtId="3" fontId="3" fillId="2" borderId="1" xfId="1" applyNumberFormat="1">
      <protection locked="0"/>
    </xf>
    <xf numFmtId="170" fontId="3" fillId="2" borderId="1" xfId="1" applyNumberFormat="1">
      <protection locked="0"/>
    </xf>
    <xf numFmtId="0" fontId="0" fillId="0" borderId="3" xfId="0" applyBorder="1"/>
    <xf numFmtId="0" fontId="11" fillId="0" borderId="11" xfId="0" applyFont="1" applyBorder="1"/>
    <xf numFmtId="0" fontId="11" fillId="0" borderId="12" xfId="0" applyFont="1" applyBorder="1"/>
    <xf numFmtId="0" fontId="0" fillId="0" borderId="13" xfId="0" applyBorder="1"/>
    <xf numFmtId="0" fontId="0" fillId="0" borderId="13" xfId="0" applyFill="1" applyBorder="1"/>
    <xf numFmtId="0" fontId="3" fillId="0" borderId="5" xfId="1" applyFill="1" applyBorder="1">
      <protection locked="0"/>
    </xf>
    <xf numFmtId="0" fontId="3" fillId="0" borderId="15" xfId="1" applyFill="1" applyBorder="1">
      <protection locked="0"/>
    </xf>
    <xf numFmtId="0" fontId="11" fillId="0" borderId="14" xfId="0" applyFont="1" applyBorder="1" applyAlignment="1">
      <alignment horizontal="center"/>
    </xf>
    <xf numFmtId="0" fontId="11" fillId="0" borderId="16" xfId="0" applyFont="1" applyBorder="1" applyAlignment="1">
      <alignment horizontal="center"/>
    </xf>
    <xf numFmtId="11" fontId="0" fillId="0" borderId="17" xfId="0" applyNumberFormat="1" applyBorder="1" applyAlignment="1">
      <alignment horizontal="center"/>
    </xf>
    <xf numFmtId="0" fontId="11" fillId="0" borderId="12" xfId="0" applyFont="1" applyBorder="1" applyAlignment="1">
      <alignment horizontal="right"/>
    </xf>
    <xf numFmtId="0" fontId="3" fillId="2" borderId="18" xfId="1" applyBorder="1">
      <protection locked="0"/>
    </xf>
    <xf numFmtId="0" fontId="3" fillId="2" borderId="19" xfId="1" applyBorder="1">
      <protection locked="0"/>
    </xf>
    <xf numFmtId="0" fontId="3" fillId="0" borderId="18" xfId="1" applyFill="1" applyBorder="1">
      <protection locked="0"/>
    </xf>
    <xf numFmtId="0" fontId="3" fillId="0" borderId="20" xfId="1" applyFill="1" applyBorder="1">
      <protection locked="0"/>
    </xf>
    <xf numFmtId="0" fontId="3" fillId="0" borderId="13" xfId="1" applyFill="1" applyBorder="1">
      <protection locked="0"/>
    </xf>
    <xf numFmtId="11" fontId="0" fillId="0" borderId="13" xfId="0" applyNumberFormat="1" applyBorder="1"/>
    <xf numFmtId="0" fontId="12" fillId="0" borderId="14" xfId="0" applyFont="1" applyBorder="1" applyAlignment="1">
      <alignment horizontal="center"/>
    </xf>
    <xf numFmtId="11" fontId="12" fillId="0" borderId="17" xfId="0" applyNumberFormat="1" applyFont="1" applyBorder="1" applyAlignment="1">
      <alignment horizontal="center"/>
    </xf>
    <xf numFmtId="0" fontId="12" fillId="0" borderId="21" xfId="0" applyFont="1" applyBorder="1" applyAlignment="1">
      <alignment horizontal="center"/>
    </xf>
    <xf numFmtId="0" fontId="0" fillId="0" borderId="22" xfId="0" applyBorder="1"/>
    <xf numFmtId="0" fontId="0" fillId="0" borderId="12" xfId="0" applyBorder="1"/>
    <xf numFmtId="0" fontId="0" fillId="0" borderId="16" xfId="0" applyBorder="1" applyAlignment="1">
      <alignment horizontal="center"/>
    </xf>
    <xf numFmtId="11" fontId="0" fillId="0" borderId="3" xfId="0" applyNumberFormat="1" applyBorder="1" applyAlignment="1">
      <alignment horizontal="right"/>
    </xf>
    <xf numFmtId="11" fontId="12" fillId="0" borderId="16" xfId="0" applyNumberFormat="1" applyFont="1" applyBorder="1" applyAlignment="1">
      <alignment horizontal="center"/>
    </xf>
    <xf numFmtId="0" fontId="14" fillId="0" borderId="3" xfId="0" applyFont="1" applyBorder="1" applyAlignment="1">
      <alignment horizontal="left"/>
    </xf>
    <xf numFmtId="0" fontId="12" fillId="0" borderId="23" xfId="0" applyFont="1" applyBorder="1" applyAlignment="1">
      <alignment horizontal="left" indent="1"/>
    </xf>
    <xf numFmtId="0" fontId="12" fillId="0" borderId="23" xfId="0" applyFont="1" applyBorder="1" applyAlignment="1">
      <alignment horizontal="right"/>
    </xf>
    <xf numFmtId="11" fontId="12" fillId="0" borderId="23" xfId="0" applyNumberFormat="1" applyFont="1" applyFill="1" applyBorder="1" applyAlignment="1">
      <alignment horizontal="right"/>
    </xf>
    <xf numFmtId="0" fontId="12" fillId="0" borderId="24" xfId="0" applyFont="1" applyBorder="1" applyAlignment="1">
      <alignment horizontal="left" indent="1"/>
    </xf>
    <xf numFmtId="0" fontId="12" fillId="0" borderId="24" xfId="0" applyFont="1" applyBorder="1" applyAlignment="1">
      <alignment horizontal="left"/>
    </xf>
    <xf numFmtId="11" fontId="3" fillId="4" borderId="1" xfId="4" applyNumberFormat="1" applyAlignment="1" applyProtection="1">
      <alignment horizontal="right"/>
    </xf>
    <xf numFmtId="11" fontId="3" fillId="4" borderId="6" xfId="4" applyNumberFormat="1" applyBorder="1" applyAlignment="1" applyProtection="1">
      <alignment horizontal="right"/>
    </xf>
    <xf numFmtId="0" fontId="3" fillId="2" borderId="1" xfId="1" applyAlignment="1">
      <alignment horizontal="right"/>
      <protection locked="0"/>
    </xf>
    <xf numFmtId="9" fontId="3" fillId="2" borderId="1" xfId="1" applyNumberFormat="1" applyAlignment="1">
      <alignment horizontal="right"/>
      <protection locked="0"/>
    </xf>
    <xf numFmtId="4" fontId="0" fillId="0" borderId="0" xfId="0" applyNumberFormat="1" applyAlignment="1">
      <alignment horizontal="right"/>
    </xf>
    <xf numFmtId="171" fontId="3" fillId="2" borderId="1" xfId="1" applyNumberFormat="1" applyAlignment="1">
      <alignment horizontal="right"/>
      <protection locked="0"/>
    </xf>
    <xf numFmtId="166" fontId="3" fillId="2" borderId="1" xfId="1" applyNumberFormat="1" applyAlignment="1">
      <alignment horizontal="right"/>
      <protection locked="0"/>
    </xf>
    <xf numFmtId="164" fontId="0" fillId="0" borderId="0" xfId="0" applyNumberFormat="1"/>
    <xf numFmtId="0" fontId="0" fillId="0" borderId="0" xfId="0" applyAlignment="1">
      <alignment horizontal="left"/>
    </xf>
    <xf numFmtId="2" fontId="3" fillId="2" borderId="1" xfId="1" applyNumberFormat="1" applyBorder="1">
      <protection locked="0"/>
    </xf>
    <xf numFmtId="9" fontId="3" fillId="2" borderId="1" xfId="1" applyNumberFormat="1" applyBorder="1">
      <protection locked="0"/>
    </xf>
    <xf numFmtId="11" fontId="0" fillId="0" borderId="0" xfId="0" applyNumberFormat="1" applyFont="1" applyFill="1" applyBorder="1" applyAlignment="1">
      <alignment horizontal="right"/>
    </xf>
    <xf numFmtId="4" fontId="3" fillId="2" borderId="1" xfId="1" applyNumberFormat="1" applyAlignment="1">
      <alignment horizontal="right"/>
      <protection locked="0"/>
    </xf>
    <xf numFmtId="1" fontId="0" fillId="0" borderId="0" xfId="0" applyNumberFormat="1"/>
    <xf numFmtId="0" fontId="3" fillId="2" borderId="9" xfId="1" applyBorder="1" applyAlignment="1">
      <alignment horizontal="right"/>
      <protection locked="0"/>
    </xf>
    <xf numFmtId="164" fontId="3" fillId="2" borderId="1" xfId="1" applyNumberFormat="1" applyAlignment="1">
      <alignment horizontal="right"/>
      <protection locked="0"/>
    </xf>
    <xf numFmtId="3" fontId="3" fillId="2" borderId="1" xfId="1" applyNumberFormat="1" applyAlignment="1">
      <alignment horizontal="right"/>
      <protection locked="0"/>
    </xf>
    <xf numFmtId="171" fontId="3" fillId="2" borderId="4" xfId="1" applyNumberFormat="1" applyBorder="1" applyAlignment="1">
      <alignment horizontal="right"/>
      <protection locked="0"/>
    </xf>
    <xf numFmtId="9" fontId="3" fillId="2" borderId="4" xfId="1" applyNumberFormat="1" applyBorder="1" applyAlignment="1">
      <alignment horizontal="right"/>
      <protection locked="0"/>
    </xf>
    <xf numFmtId="0" fontId="19" fillId="0" borderId="0" xfId="0" applyFont="1" applyBorder="1" applyAlignment="1">
      <alignment horizontal="left" indent="1"/>
    </xf>
    <xf numFmtId="0" fontId="0" fillId="0" borderId="0" xfId="0" applyBorder="1" applyAlignment="1">
      <alignment horizontal="left" indent="1"/>
    </xf>
    <xf numFmtId="0" fontId="19" fillId="0" borderId="0" xfId="0" applyFont="1" applyFill="1" applyBorder="1" applyAlignment="1">
      <alignment horizontal="left" indent="1"/>
    </xf>
    <xf numFmtId="0" fontId="20" fillId="0" borderId="25" xfId="0" applyFont="1" applyBorder="1" applyAlignment="1">
      <alignment horizontal="right"/>
    </xf>
    <xf numFmtId="0" fontId="12" fillId="0" borderId="25" xfId="0" applyFont="1" applyBorder="1" applyAlignment="1">
      <alignment horizontal="right"/>
    </xf>
    <xf numFmtId="11" fontId="0" fillId="0" borderId="26" xfId="0" applyNumberFormat="1" applyBorder="1"/>
    <xf numFmtId="0" fontId="0" fillId="0" borderId="26" xfId="0" applyBorder="1"/>
    <xf numFmtId="164" fontId="0" fillId="0" borderId="0" xfId="0" applyNumberFormat="1" applyAlignment="1">
      <alignment horizontal="right"/>
    </xf>
    <xf numFmtId="0" fontId="0" fillId="0" borderId="27" xfId="0" applyBorder="1"/>
    <xf numFmtId="0" fontId="0" fillId="0" borderId="28" xfId="0" applyBorder="1"/>
    <xf numFmtId="0" fontId="21" fillId="0" borderId="27" xfId="0" applyFont="1" applyBorder="1"/>
    <xf numFmtId="0" fontId="0" fillId="0" borderId="30" xfId="0" applyBorder="1"/>
    <xf numFmtId="0" fontId="0" fillId="0" borderId="31" xfId="0" applyBorder="1"/>
    <xf numFmtId="0" fontId="0" fillId="0" borderId="32" xfId="0" applyBorder="1"/>
    <xf numFmtId="0" fontId="0" fillId="0" borderId="30" xfId="0" applyBorder="1" applyAlignment="1">
      <alignment horizontal="right"/>
    </xf>
    <xf numFmtId="164" fontId="0" fillId="0" borderId="30" xfId="0" applyNumberFormat="1" applyBorder="1" applyAlignment="1">
      <alignment horizontal="right"/>
    </xf>
    <xf numFmtId="11" fontId="0" fillId="0" borderId="30" xfId="0" applyNumberFormat="1" applyBorder="1" applyAlignment="1">
      <alignment horizontal="right"/>
    </xf>
    <xf numFmtId="0" fontId="22" fillId="0" borderId="27" xfId="0" applyFont="1" applyBorder="1"/>
    <xf numFmtId="0" fontId="0" fillId="0" borderId="27" xfId="0" applyBorder="1" applyAlignment="1">
      <alignment horizontal="left" indent="1"/>
    </xf>
    <xf numFmtId="0" fontId="0" fillId="0" borderId="28" xfId="0" applyBorder="1" applyAlignment="1">
      <alignment horizontal="left" indent="1"/>
    </xf>
    <xf numFmtId="0" fontId="0" fillId="0" borderId="33" xfId="0" applyBorder="1"/>
    <xf numFmtId="0" fontId="23" fillId="0" borderId="33" xfId="0" applyFont="1" applyBorder="1"/>
    <xf numFmtId="0" fontId="0" fillId="0" borderId="34" xfId="0" applyBorder="1"/>
    <xf numFmtId="0" fontId="0" fillId="0" borderId="35" xfId="0" applyBorder="1"/>
    <xf numFmtId="0" fontId="22" fillId="0" borderId="25" xfId="0" applyFont="1" applyBorder="1" applyAlignment="1">
      <alignment horizontal="left"/>
    </xf>
    <xf numFmtId="0" fontId="0" fillId="0" borderId="36" xfId="0" applyBorder="1"/>
    <xf numFmtId="0" fontId="0" fillId="0" borderId="25" xfId="0" applyBorder="1"/>
    <xf numFmtId="0" fontId="0" fillId="0" borderId="25" xfId="0" applyBorder="1" applyAlignment="1">
      <alignment horizontal="left" indent="1"/>
    </xf>
    <xf numFmtId="11" fontId="0" fillId="0" borderId="25" xfId="0" applyNumberFormat="1" applyBorder="1"/>
    <xf numFmtId="0" fontId="24" fillId="0" borderId="0" xfId="0" applyFont="1" applyFill="1"/>
    <xf numFmtId="0" fontId="6" fillId="0" borderId="0" xfId="6" applyNumberFormat="1" applyFill="1" applyBorder="1">
      <alignment horizontal="left" vertical="center"/>
    </xf>
    <xf numFmtId="0" fontId="17" fillId="0" borderId="0" xfId="6" applyNumberFormat="1" applyFont="1" applyFill="1" applyBorder="1">
      <alignment horizontal="left" vertical="center"/>
    </xf>
    <xf numFmtId="0" fontId="16" fillId="0" borderId="0" xfId="6" applyNumberFormat="1" applyFont="1" applyFill="1" applyBorder="1">
      <alignment horizontal="left" vertical="center"/>
    </xf>
    <xf numFmtId="0" fontId="15" fillId="0" borderId="0" xfId="6" applyNumberFormat="1" applyFont="1" applyFill="1" applyBorder="1">
      <alignment horizontal="left" vertical="center"/>
    </xf>
    <xf numFmtId="0" fontId="4" fillId="0" borderId="0" xfId="6" applyNumberFormat="1" applyFont="1" applyFill="1" applyBorder="1">
      <alignment horizontal="left" vertical="center"/>
    </xf>
    <xf numFmtId="0" fontId="25" fillId="0" borderId="0" xfId="0" applyFont="1" applyFill="1"/>
    <xf numFmtId="0" fontId="12" fillId="0" borderId="37" xfId="0" applyFont="1" applyBorder="1"/>
    <xf numFmtId="0" fontId="12" fillId="0" borderId="27" xfId="0" applyFont="1" applyBorder="1" applyAlignment="1">
      <alignment horizontal="left" indent="1"/>
    </xf>
    <xf numFmtId="0" fontId="12" fillId="0" borderId="27" xfId="0" applyFont="1" applyBorder="1"/>
    <xf numFmtId="0" fontId="12" fillId="0" borderId="29" xfId="0" applyFont="1" applyBorder="1"/>
    <xf numFmtId="0" fontId="12" fillId="0" borderId="27" xfId="0" applyFont="1" applyBorder="1" applyAlignment="1">
      <alignment horizontal="right"/>
    </xf>
    <xf numFmtId="0" fontId="12" fillId="0" borderId="29" xfId="0" applyFont="1" applyBorder="1" applyAlignment="1">
      <alignment horizontal="right"/>
    </xf>
    <xf numFmtId="6" fontId="3" fillId="2" borderId="1" xfId="1" applyNumberFormat="1">
      <protection locked="0"/>
    </xf>
    <xf numFmtId="6" fontId="0" fillId="0" borderId="0" xfId="0" applyNumberFormat="1"/>
    <xf numFmtId="3" fontId="3" fillId="2" borderId="6" xfId="1" applyNumberFormat="1" applyBorder="1" applyAlignment="1">
      <alignment horizontal="right"/>
      <protection locked="0"/>
    </xf>
    <xf numFmtId="2" fontId="3" fillId="2" borderId="6" xfId="1" applyNumberFormat="1" applyBorder="1">
      <protection locked="0"/>
    </xf>
    <xf numFmtId="6" fontId="3" fillId="2" borderId="6" xfId="1" applyNumberFormat="1" applyBorder="1">
      <protection locked="0"/>
    </xf>
    <xf numFmtId="3" fontId="3" fillId="2" borderId="38" xfId="1" applyNumberFormat="1" applyBorder="1" applyAlignment="1">
      <alignment horizontal="right"/>
      <protection locked="0"/>
    </xf>
    <xf numFmtId="164" fontId="0" fillId="0" borderId="30" xfId="0" applyNumberFormat="1" applyBorder="1"/>
    <xf numFmtId="2" fontId="3" fillId="2" borderId="38" xfId="1" applyNumberFormat="1" applyBorder="1">
      <protection locked="0"/>
    </xf>
    <xf numFmtId="0" fontId="3" fillId="2" borderId="38" xfId="1" applyBorder="1">
      <protection locked="0"/>
    </xf>
    <xf numFmtId="6" fontId="3" fillId="2" borderId="38" xfId="1" applyNumberFormat="1" applyBorder="1">
      <protection locked="0"/>
    </xf>
    <xf numFmtId="6" fontId="0" fillId="0" borderId="30" xfId="0" applyNumberFormat="1" applyBorder="1"/>
    <xf numFmtId="0" fontId="12" fillId="0" borderId="39" xfId="0" applyFont="1" applyBorder="1" applyAlignment="1">
      <alignment horizontal="left" indent="1"/>
    </xf>
    <xf numFmtId="0" fontId="12" fillId="0" borderId="40" xfId="0" applyFont="1" applyBorder="1"/>
    <xf numFmtId="0" fontId="12" fillId="0" borderId="40" xfId="0" applyFont="1" applyBorder="1" applyAlignment="1">
      <alignment horizontal="right"/>
    </xf>
    <xf numFmtId="0" fontId="12" fillId="0" borderId="41" xfId="0" applyFont="1" applyBorder="1" applyAlignment="1">
      <alignment horizontal="right"/>
    </xf>
    <xf numFmtId="0" fontId="0" fillId="0" borderId="43" xfId="0" applyBorder="1"/>
    <xf numFmtId="6" fontId="1" fillId="0" borderId="0" xfId="0" applyNumberFormat="1" applyFont="1"/>
    <xf numFmtId="6" fontId="1" fillId="0" borderId="30" xfId="0" applyNumberFormat="1" applyFont="1" applyBorder="1"/>
    <xf numFmtId="6" fontId="0" fillId="0" borderId="0" xfId="0" applyNumberFormat="1" applyFont="1"/>
    <xf numFmtId="0" fontId="0" fillId="0" borderId="0" xfId="0" applyAlignment="1">
      <alignment horizontal="center"/>
    </xf>
    <xf numFmtId="0" fontId="26" fillId="0" borderId="0" xfId="0" applyFont="1"/>
    <xf numFmtId="0" fontId="0" fillId="0" borderId="44" xfId="0" applyBorder="1"/>
    <xf numFmtId="0" fontId="26" fillId="0" borderId="44" xfId="0" applyFont="1" applyBorder="1"/>
    <xf numFmtId="0" fontId="0" fillId="0" borderId="42" xfId="0" applyBorder="1" applyAlignment="1">
      <alignment horizontal="left" indent="1"/>
    </xf>
    <xf numFmtId="0" fontId="0" fillId="0" borderId="48" xfId="0" applyBorder="1" applyAlignment="1">
      <alignment horizontal="left" indent="1"/>
    </xf>
    <xf numFmtId="6" fontId="0" fillId="0" borderId="28" xfId="0" applyNumberFormat="1" applyBorder="1"/>
    <xf numFmtId="6" fontId="0" fillId="0" borderId="31" xfId="0" applyNumberFormat="1" applyBorder="1"/>
    <xf numFmtId="0" fontId="12" fillId="0" borderId="25" xfId="0" applyFont="1" applyBorder="1" applyAlignment="1">
      <alignment horizontal="center"/>
    </xf>
    <xf numFmtId="6" fontId="0" fillId="0" borderId="27" xfId="0" applyNumberFormat="1" applyBorder="1"/>
    <xf numFmtId="0" fontId="27" fillId="0" borderId="0" xfId="0" applyFont="1" applyAlignment="1">
      <alignment horizontal="left" indent="1"/>
    </xf>
    <xf numFmtId="0" fontId="27" fillId="0" borderId="0" xfId="0" applyFont="1"/>
    <xf numFmtId="6" fontId="27" fillId="0" borderId="0" xfId="0" applyNumberFormat="1" applyFont="1"/>
    <xf numFmtId="2" fontId="3" fillId="2" borderId="4" xfId="1" applyNumberFormat="1" applyBorder="1">
      <protection locked="0"/>
    </xf>
    <xf numFmtId="2" fontId="3" fillId="2" borderId="50" xfId="1" applyNumberFormat="1" applyBorder="1">
      <protection locked="0"/>
    </xf>
    <xf numFmtId="2" fontId="3" fillId="2" borderId="5" xfId="1" applyNumberFormat="1" applyBorder="1">
      <protection locked="0"/>
    </xf>
    <xf numFmtId="0" fontId="3" fillId="2" borderId="4" xfId="1" applyBorder="1">
      <protection locked="0"/>
    </xf>
    <xf numFmtId="0" fontId="3" fillId="2" borderId="50" xfId="1" applyBorder="1">
      <protection locked="0"/>
    </xf>
    <xf numFmtId="6" fontId="27" fillId="0" borderId="30" xfId="0" applyNumberFormat="1" applyFont="1" applyBorder="1"/>
    <xf numFmtId="6" fontId="27" fillId="0" borderId="46" xfId="0" applyNumberFormat="1" applyFont="1" applyBorder="1"/>
    <xf numFmtId="6" fontId="27" fillId="0" borderId="45" xfId="0" applyNumberFormat="1" applyFont="1" applyBorder="1"/>
    <xf numFmtId="3" fontId="3" fillId="2" borderId="4" xfId="1" applyNumberFormat="1" applyBorder="1">
      <protection locked="0"/>
    </xf>
    <xf numFmtId="164" fontId="3" fillId="2" borderId="6" xfId="1" applyNumberFormat="1" applyBorder="1" applyAlignment="1">
      <alignment horizontal="right"/>
      <protection locked="0"/>
    </xf>
    <xf numFmtId="164" fontId="3" fillId="2" borderId="38" xfId="1" applyNumberFormat="1" applyBorder="1" applyAlignment="1">
      <alignment horizontal="right"/>
      <protection locked="0"/>
    </xf>
    <xf numFmtId="0" fontId="0" fillId="0" borderId="51" xfId="0" applyBorder="1" applyAlignment="1">
      <alignment horizontal="left" indent="1"/>
    </xf>
    <xf numFmtId="6" fontId="0" fillId="0" borderId="0" xfId="0" applyNumberFormat="1" applyBorder="1"/>
    <xf numFmtId="0" fontId="0" fillId="0" borderId="51" xfId="0" applyBorder="1"/>
    <xf numFmtId="164" fontId="3" fillId="4" borderId="1" xfId="4" applyNumberFormat="1" applyAlignment="1">
      <alignment horizontal="right"/>
      <protection locked="0"/>
    </xf>
    <xf numFmtId="164" fontId="3" fillId="4" borderId="6" xfId="4" applyNumberFormat="1" applyBorder="1" applyAlignment="1">
      <alignment horizontal="right"/>
      <protection locked="0"/>
    </xf>
    <xf numFmtId="164" fontId="3" fillId="4" borderId="38" xfId="4" applyNumberFormat="1" applyBorder="1" applyAlignment="1">
      <alignment horizontal="right"/>
      <protection locked="0"/>
    </xf>
    <xf numFmtId="3" fontId="3" fillId="4" borderId="1" xfId="4" applyNumberFormat="1" applyAlignment="1">
      <alignment horizontal="right"/>
      <protection locked="0"/>
    </xf>
    <xf numFmtId="4" fontId="3" fillId="4" borderId="1" xfId="4" applyNumberFormat="1" applyAlignment="1">
      <alignment horizontal="right"/>
      <protection locked="0"/>
    </xf>
    <xf numFmtId="3" fontId="3" fillId="4" borderId="38" xfId="4" applyNumberFormat="1" applyBorder="1" applyAlignment="1">
      <alignment horizontal="right"/>
      <protection locked="0"/>
    </xf>
    <xf numFmtId="3" fontId="3" fillId="4" borderId="6" xfId="4" applyNumberFormat="1" applyBorder="1" applyAlignment="1">
      <alignment horizontal="right"/>
      <protection locked="0"/>
    </xf>
    <xf numFmtId="4" fontId="3" fillId="4" borderId="38" xfId="4" applyNumberFormat="1" applyBorder="1" applyAlignment="1">
      <alignment horizontal="right"/>
      <protection locked="0"/>
    </xf>
    <xf numFmtId="4" fontId="3" fillId="4" borderId="6" xfId="4" applyNumberFormat="1" applyBorder="1" applyAlignment="1">
      <alignment horizontal="right"/>
      <protection locked="0"/>
    </xf>
    <xf numFmtId="164" fontId="0" fillId="0" borderId="52" xfId="0" applyNumberFormat="1" applyBorder="1" applyAlignment="1">
      <alignment horizontal="right"/>
    </xf>
    <xf numFmtId="0" fontId="12" fillId="0" borderId="53" xfId="0" applyFont="1" applyBorder="1" applyAlignment="1">
      <alignment horizontal="right"/>
    </xf>
    <xf numFmtId="0" fontId="0" fillId="0" borderId="54" xfId="0" applyBorder="1" applyAlignment="1">
      <alignment horizontal="right"/>
    </xf>
    <xf numFmtId="164" fontId="0" fillId="0" borderId="54" xfId="0" applyNumberFormat="1" applyBorder="1" applyAlignment="1">
      <alignment horizontal="right"/>
    </xf>
    <xf numFmtId="0" fontId="0" fillId="0" borderId="47" xfId="0" applyBorder="1"/>
    <xf numFmtId="11" fontId="0" fillId="0" borderId="54" xfId="0" applyNumberFormat="1" applyBorder="1" applyAlignment="1">
      <alignment horizontal="right"/>
    </xf>
    <xf numFmtId="0" fontId="0" fillId="0" borderId="55" xfId="0" applyBorder="1"/>
    <xf numFmtId="3" fontId="0" fillId="0" borderId="54" xfId="0" applyNumberFormat="1" applyBorder="1" applyAlignment="1">
      <alignment horizontal="right"/>
    </xf>
    <xf numFmtId="3" fontId="0" fillId="0" borderId="0" xfId="0" applyNumberFormat="1" applyAlignment="1">
      <alignment horizontal="right"/>
    </xf>
    <xf numFmtId="3" fontId="0" fillId="0" borderId="30" xfId="0" applyNumberFormat="1" applyBorder="1" applyAlignment="1">
      <alignment horizontal="right"/>
    </xf>
    <xf numFmtId="164" fontId="3" fillId="4" borderId="56" xfId="4" applyNumberFormat="1" applyBorder="1" applyAlignment="1">
      <alignment horizontal="right"/>
      <protection locked="0"/>
    </xf>
    <xf numFmtId="4" fontId="3" fillId="4" borderId="56" xfId="4" applyNumberFormat="1" applyBorder="1" applyAlignment="1">
      <alignment horizontal="right"/>
      <protection locked="0"/>
    </xf>
    <xf numFmtId="164" fontId="0" fillId="0" borderId="57" xfId="0" applyNumberFormat="1" applyBorder="1"/>
    <xf numFmtId="164" fontId="0" fillId="0" borderId="58" xfId="0" applyNumberFormat="1" applyBorder="1"/>
    <xf numFmtId="0" fontId="12" fillId="0" borderId="59" xfId="0" applyFont="1" applyBorder="1" applyAlignment="1">
      <alignment horizontal="right"/>
    </xf>
    <xf numFmtId="0" fontId="0" fillId="0" borderId="60" xfId="0" applyBorder="1" applyAlignment="1">
      <alignment horizontal="right"/>
    </xf>
    <xf numFmtId="164" fontId="0" fillId="0" borderId="60" xfId="0" applyNumberFormat="1" applyBorder="1" applyAlignment="1">
      <alignment horizontal="right"/>
    </xf>
    <xf numFmtId="3" fontId="0" fillId="0" borderId="60" xfId="0" applyNumberFormat="1" applyBorder="1" applyAlignment="1">
      <alignment horizontal="right"/>
    </xf>
    <xf numFmtId="0" fontId="0" fillId="0" borderId="61" xfId="0" applyBorder="1"/>
    <xf numFmtId="11" fontId="0" fillId="0" borderId="60" xfId="0" applyNumberFormat="1" applyBorder="1" applyAlignment="1">
      <alignment horizontal="right"/>
    </xf>
    <xf numFmtId="164" fontId="0" fillId="0" borderId="62" xfId="0" applyNumberFormat="1" applyBorder="1" applyAlignment="1">
      <alignment horizontal="right"/>
    </xf>
    <xf numFmtId="0" fontId="0" fillId="0" borderId="63" xfId="0" applyBorder="1"/>
    <xf numFmtId="0" fontId="12" fillId="0" borderId="64" xfId="0" applyFont="1" applyBorder="1" applyAlignment="1">
      <alignment horizontal="right"/>
    </xf>
    <xf numFmtId="0" fontId="0" fillId="0" borderId="65" xfId="0" applyFill="1" applyBorder="1" applyAlignment="1">
      <alignment horizontal="right"/>
    </xf>
    <xf numFmtId="0" fontId="0" fillId="0" borderId="66" xfId="0" applyBorder="1"/>
    <xf numFmtId="11" fontId="0" fillId="0" borderId="65" xfId="0" applyNumberFormat="1" applyBorder="1"/>
    <xf numFmtId="0" fontId="0" fillId="0" borderId="67" xfId="0" applyBorder="1"/>
    <xf numFmtId="0" fontId="0" fillId="0" borderId="65" xfId="0" applyBorder="1" applyAlignment="1">
      <alignment horizontal="right"/>
    </xf>
    <xf numFmtId="172" fontId="3" fillId="2" borderId="1" xfId="1" applyNumberFormat="1" applyAlignment="1">
      <alignment horizontal="right"/>
      <protection locked="0"/>
    </xf>
    <xf numFmtId="6" fontId="0" fillId="0" borderId="0" xfId="0" applyNumberFormat="1" applyAlignment="1">
      <alignment horizontal="right"/>
    </xf>
    <xf numFmtId="8" fontId="3" fillId="2" borderId="1" xfId="1" applyNumberFormat="1" applyAlignment="1">
      <alignment horizontal="right"/>
      <protection locked="0"/>
    </xf>
    <xf numFmtId="8" fontId="3" fillId="2" borderId="49" xfId="1" applyNumberFormat="1" applyBorder="1" applyAlignment="1">
      <alignment horizontal="right"/>
      <protection locked="0"/>
    </xf>
    <xf numFmtId="0" fontId="0" fillId="0" borderId="27" xfId="0" applyBorder="1" applyAlignment="1">
      <alignment horizontal="right"/>
    </xf>
    <xf numFmtId="11" fontId="0" fillId="0" borderId="27" xfId="0" applyNumberFormat="1" applyBorder="1" applyAlignment="1">
      <alignment horizontal="right"/>
    </xf>
    <xf numFmtId="6" fontId="0" fillId="0" borderId="27" xfId="0" applyNumberFormat="1" applyBorder="1" applyAlignment="1">
      <alignment horizontal="right"/>
    </xf>
    <xf numFmtId="0" fontId="27" fillId="0" borderId="0" xfId="0" applyFont="1" applyAlignment="1">
      <alignment horizontal="right"/>
    </xf>
    <xf numFmtId="3" fontId="27" fillId="0" borderId="0" xfId="0" applyNumberFormat="1" applyFont="1" applyAlignment="1">
      <alignment horizontal="right"/>
    </xf>
    <xf numFmtId="6" fontId="27" fillId="0" borderId="0" xfId="0" applyNumberFormat="1" applyFont="1" applyAlignment="1">
      <alignment horizontal="right"/>
    </xf>
    <xf numFmtId="172" fontId="3" fillId="2" borderId="49" xfId="1" applyNumberFormat="1" applyBorder="1" applyAlignment="1">
      <alignment horizontal="right"/>
      <protection locked="0"/>
    </xf>
    <xf numFmtId="1" fontId="0" fillId="0" borderId="0" xfId="0" applyNumberFormat="1" applyAlignment="1">
      <alignment horizontal="right"/>
    </xf>
    <xf numFmtId="3" fontId="0" fillId="0" borderId="27" xfId="0" applyNumberFormat="1" applyBorder="1" applyAlignment="1">
      <alignment horizontal="right"/>
    </xf>
    <xf numFmtId="1" fontId="3" fillId="2" borderId="49" xfId="1" applyNumberFormat="1" applyBorder="1" applyAlignment="1">
      <alignment horizontal="right"/>
      <protection locked="0"/>
    </xf>
    <xf numFmtId="0" fontId="0" fillId="0" borderId="30" xfId="0" applyNumberFormat="1" applyFill="1" applyBorder="1" applyAlignment="1">
      <alignment horizontal="right"/>
    </xf>
    <xf numFmtId="11" fontId="0" fillId="0" borderId="30" xfId="0" applyNumberFormat="1" applyFont="1" applyBorder="1" applyAlignment="1">
      <alignment horizontal="right"/>
    </xf>
    <xf numFmtId="11" fontId="3" fillId="4" borderId="38" xfId="4" applyNumberFormat="1" applyBorder="1" applyAlignment="1" applyProtection="1">
      <alignment horizontal="right"/>
    </xf>
    <xf numFmtId="11" fontId="13" fillId="0" borderId="30" xfId="3" applyNumberFormat="1" applyFont="1" applyFill="1" applyBorder="1" applyAlignment="1">
      <alignment horizontal="right"/>
    </xf>
    <xf numFmtId="11" fontId="5" fillId="0" borderId="69" xfId="3" applyNumberFormat="1" applyFill="1" applyBorder="1" applyAlignment="1">
      <alignment horizontal="right"/>
    </xf>
    <xf numFmtId="11" fontId="8" fillId="0" borderId="30" xfId="0" applyNumberFormat="1" applyFont="1" applyFill="1" applyBorder="1" applyAlignment="1">
      <alignment horizontal="right"/>
    </xf>
    <xf numFmtId="11" fontId="8" fillId="0" borderId="70" xfId="0" applyNumberFormat="1" applyFont="1" applyFill="1" applyBorder="1" applyAlignment="1">
      <alignment horizontal="right"/>
    </xf>
    <xf numFmtId="0" fontId="0" fillId="0" borderId="70" xfId="0" applyFill="1" applyBorder="1"/>
    <xf numFmtId="11" fontId="8" fillId="0" borderId="69" xfId="0" applyNumberFormat="1" applyFont="1" applyFill="1" applyBorder="1" applyAlignment="1">
      <alignment horizontal="right"/>
    </xf>
    <xf numFmtId="11" fontId="12" fillId="0" borderId="71" xfId="0" applyNumberFormat="1" applyFont="1" applyFill="1" applyBorder="1" applyAlignment="1">
      <alignment horizontal="right"/>
    </xf>
    <xf numFmtId="11" fontId="0" fillId="0" borderId="30" xfId="0" applyNumberFormat="1" applyFont="1" applyFill="1" applyBorder="1" applyAlignment="1">
      <alignment horizontal="right"/>
    </xf>
    <xf numFmtId="11" fontId="0" fillId="0" borderId="70" xfId="0" applyNumberFormat="1" applyFont="1" applyFill="1" applyBorder="1" applyAlignment="1">
      <alignment horizontal="right"/>
    </xf>
    <xf numFmtId="0" fontId="0" fillId="0" borderId="30" xfId="0" applyFont="1" applyFill="1" applyBorder="1" applyAlignment="1">
      <alignment horizontal="right"/>
    </xf>
    <xf numFmtId="0" fontId="0" fillId="0" borderId="70" xfId="0" applyFont="1" applyFill="1" applyBorder="1" applyAlignment="1">
      <alignment horizontal="right"/>
    </xf>
    <xf numFmtId="11" fontId="0" fillId="0" borderId="69" xfId="0" applyNumberFormat="1" applyFont="1" applyFill="1" applyBorder="1" applyAlignment="1">
      <alignment horizontal="right"/>
    </xf>
    <xf numFmtId="0" fontId="12" fillId="0" borderId="68" xfId="0" applyFont="1" applyFill="1" applyBorder="1" applyAlignment="1">
      <alignment horizontal="right"/>
    </xf>
    <xf numFmtId="11" fontId="12" fillId="0" borderId="68" xfId="0" applyNumberFormat="1" applyFont="1" applyFill="1" applyBorder="1" applyAlignment="1">
      <alignment horizontal="right"/>
    </xf>
    <xf numFmtId="164" fontId="0" fillId="0" borderId="30" xfId="0" applyNumberFormat="1" applyFont="1" applyFill="1" applyBorder="1" applyAlignment="1">
      <alignment horizontal="right"/>
    </xf>
    <xf numFmtId="11" fontId="9" fillId="0" borderId="30" xfId="0" applyNumberFormat="1" applyFont="1" applyFill="1" applyBorder="1" applyAlignment="1">
      <alignment horizontal="right"/>
    </xf>
    <xf numFmtId="11" fontId="9" fillId="0" borderId="70" xfId="0" applyNumberFormat="1" applyFont="1" applyFill="1" applyBorder="1" applyAlignment="1">
      <alignment horizontal="right"/>
    </xf>
    <xf numFmtId="0" fontId="0" fillId="0" borderId="30" xfId="0" applyFill="1" applyBorder="1"/>
    <xf numFmtId="164" fontId="0" fillId="0" borderId="30" xfId="0" applyNumberFormat="1" applyFill="1" applyBorder="1" applyAlignment="1">
      <alignment horizontal="right"/>
    </xf>
    <xf numFmtId="0" fontId="0" fillId="0" borderId="54" xfId="0" applyBorder="1"/>
    <xf numFmtId="0" fontId="0" fillId="0" borderId="54" xfId="0" applyNumberFormat="1" applyFill="1" applyBorder="1" applyAlignment="1">
      <alignment horizontal="right"/>
    </xf>
    <xf numFmtId="164" fontId="0" fillId="0" borderId="54" xfId="0" applyNumberFormat="1" applyFill="1" applyBorder="1" applyAlignment="1">
      <alignment horizontal="right"/>
    </xf>
    <xf numFmtId="11" fontId="3" fillId="4" borderId="56" xfId="4" applyNumberFormat="1" applyBorder="1" applyAlignment="1" applyProtection="1">
      <alignment horizontal="right"/>
    </xf>
    <xf numFmtId="11" fontId="0" fillId="0" borderId="54" xfId="0" applyNumberFormat="1" applyFont="1" applyBorder="1" applyAlignment="1">
      <alignment horizontal="right"/>
    </xf>
    <xf numFmtId="11" fontId="13" fillId="0" borderId="54" xfId="3" applyNumberFormat="1" applyFont="1" applyFill="1" applyBorder="1" applyAlignment="1">
      <alignment horizontal="right"/>
    </xf>
    <xf numFmtId="11" fontId="5" fillId="0" borderId="73" xfId="3" applyNumberFormat="1" applyFill="1" applyBorder="1" applyAlignment="1">
      <alignment horizontal="right"/>
    </xf>
    <xf numFmtId="11" fontId="0" fillId="0" borderId="54" xfId="0" applyNumberFormat="1" applyFill="1" applyBorder="1"/>
    <xf numFmtId="11" fontId="0" fillId="0" borderId="74" xfId="0" applyNumberFormat="1" applyFill="1" applyBorder="1"/>
    <xf numFmtId="0" fontId="0" fillId="0" borderId="54" xfId="0" applyFill="1" applyBorder="1"/>
    <xf numFmtId="11" fontId="8" fillId="0" borderId="54" xfId="0" applyNumberFormat="1" applyFont="1" applyFill="1" applyBorder="1" applyAlignment="1">
      <alignment horizontal="right"/>
    </xf>
    <xf numFmtId="0" fontId="0" fillId="0" borderId="74" xfId="0" applyFill="1" applyBorder="1"/>
    <xf numFmtId="11" fontId="9" fillId="0" borderId="54" xfId="0" applyNumberFormat="1" applyFont="1" applyFill="1" applyBorder="1" applyAlignment="1">
      <alignment horizontal="right"/>
    </xf>
    <xf numFmtId="0" fontId="0" fillId="0" borderId="73" xfId="0" applyFill="1" applyBorder="1"/>
    <xf numFmtId="11" fontId="12" fillId="0" borderId="72" xfId="0" applyNumberFormat="1" applyFont="1" applyFill="1" applyBorder="1" applyAlignment="1">
      <alignment horizontal="right"/>
    </xf>
    <xf numFmtId="164" fontId="0" fillId="0" borderId="65" xfId="0" applyNumberFormat="1" applyBorder="1"/>
    <xf numFmtId="3" fontId="3" fillId="4" borderId="56" xfId="4" applyNumberFormat="1" applyBorder="1" applyAlignment="1">
      <alignment horizontal="right"/>
      <protection locked="0"/>
    </xf>
    <xf numFmtId="0" fontId="29" fillId="0" borderId="0" xfId="0" applyFont="1" applyAlignment="1">
      <alignment horizontal="left" indent="1"/>
    </xf>
    <xf numFmtId="0" fontId="26" fillId="0" borderId="0" xfId="0" applyFont="1" applyAlignment="1">
      <alignment horizontal="left" indent="1"/>
    </xf>
    <xf numFmtId="0" fontId="26" fillId="0" borderId="0" xfId="0" applyFont="1" applyAlignment="1">
      <alignment horizontal="right"/>
    </xf>
    <xf numFmtId="6" fontId="26" fillId="0" borderId="0" xfId="0" applyNumberFormat="1" applyFont="1" applyAlignment="1">
      <alignment horizontal="right"/>
    </xf>
    <xf numFmtId="0" fontId="0" fillId="0" borderId="75" xfId="0" applyBorder="1" applyAlignment="1">
      <alignment horizontal="left" indent="1"/>
    </xf>
    <xf numFmtId="0" fontId="0" fillId="0" borderId="75" xfId="0" applyBorder="1"/>
    <xf numFmtId="6" fontId="0" fillId="0" borderId="75" xfId="0" applyNumberFormat="1" applyBorder="1"/>
    <xf numFmtId="0" fontId="0" fillId="0" borderId="76" xfId="0" applyBorder="1"/>
    <xf numFmtId="2" fontId="3" fillId="2" borderId="1" xfId="1" applyNumberFormat="1" applyAlignment="1">
      <alignment horizontal="right"/>
      <protection locked="0"/>
    </xf>
    <xf numFmtId="2" fontId="3" fillId="2" borderId="49" xfId="1" applyNumberFormat="1" applyBorder="1" applyAlignment="1">
      <alignment horizontal="right"/>
      <protection locked="0"/>
    </xf>
    <xf numFmtId="0" fontId="29" fillId="0" borderId="0" xfId="0" applyFont="1"/>
    <xf numFmtId="6" fontId="29" fillId="0" borderId="0" xfId="0" applyNumberFormat="1" applyFont="1"/>
    <xf numFmtId="0" fontId="28" fillId="0" borderId="0" xfId="0" applyFont="1" applyBorder="1" applyAlignment="1">
      <alignment horizontal="left"/>
    </xf>
    <xf numFmtId="173" fontId="0" fillId="0" borderId="0" xfId="0" applyNumberFormat="1"/>
    <xf numFmtId="173" fontId="0" fillId="0" borderId="27" xfId="0" applyNumberFormat="1" applyBorder="1"/>
    <xf numFmtId="173" fontId="28" fillId="0" borderId="0" xfId="0" applyNumberFormat="1" applyFont="1" applyBorder="1" applyAlignment="1">
      <alignment horizontal="right"/>
    </xf>
    <xf numFmtId="0" fontId="0" fillId="0" borderId="0" xfId="0" quotePrefix="1"/>
    <xf numFmtId="0" fontId="30" fillId="0" borderId="25" xfId="0" applyFont="1" applyBorder="1" applyAlignment="1">
      <alignment horizontal="left"/>
    </xf>
    <xf numFmtId="0" fontId="0" fillId="0" borderId="0" xfId="0" applyFont="1" applyAlignment="1">
      <alignment horizontal="left" indent="1"/>
    </xf>
    <xf numFmtId="8" fontId="0" fillId="0" borderId="0" xfId="0" applyNumberFormat="1"/>
    <xf numFmtId="4" fontId="0" fillId="0" borderId="0" xfId="0" applyNumberFormat="1"/>
    <xf numFmtId="10" fontId="0" fillId="0" borderId="0" xfId="0" applyNumberFormat="1"/>
    <xf numFmtId="174" fontId="0" fillId="0" borderId="0" xfId="0" applyNumberFormat="1"/>
    <xf numFmtId="4" fontId="3" fillId="2" borderId="1" xfId="1" applyNumberFormat="1">
      <protection locked="0"/>
    </xf>
    <xf numFmtId="4" fontId="12" fillId="0" borderId="25" xfId="0" applyNumberFormat="1" applyFont="1" applyBorder="1" applyAlignment="1">
      <alignment horizontal="right"/>
    </xf>
    <xf numFmtId="0" fontId="12" fillId="0" borderId="25" xfId="0" applyFont="1" applyBorder="1" applyAlignment="1">
      <alignment horizontal="left"/>
    </xf>
    <xf numFmtId="3" fontId="30" fillId="0" borderId="25" xfId="0" applyNumberFormat="1" applyFont="1" applyBorder="1" applyAlignment="1">
      <alignment horizontal="right"/>
    </xf>
    <xf numFmtId="9" fontId="3" fillId="2" borderId="4" xfId="1" applyNumberFormat="1" applyBorder="1">
      <protection locked="0"/>
    </xf>
    <xf numFmtId="2" fontId="0" fillId="0" borderId="28" xfId="0" applyNumberFormat="1" applyBorder="1"/>
    <xf numFmtId="170" fontId="0" fillId="0" borderId="0" xfId="0" applyNumberFormat="1"/>
    <xf numFmtId="173" fontId="30" fillId="0" borderId="25" xfId="0" applyNumberFormat="1" applyFont="1" applyBorder="1" applyAlignment="1">
      <alignment horizontal="right"/>
    </xf>
    <xf numFmtId="169" fontId="0" fillId="0" borderId="28" xfId="0" applyNumberFormat="1" applyBorder="1"/>
    <xf numFmtId="170" fontId="0" fillId="0" borderId="28" xfId="0" applyNumberFormat="1" applyBorder="1"/>
    <xf numFmtId="168" fontId="3" fillId="2" borderId="1" xfId="1" applyNumberFormat="1">
      <protection locked="0"/>
    </xf>
    <xf numFmtId="164" fontId="3" fillId="2" borderId="4" xfId="1" applyNumberFormat="1" applyBorder="1" applyAlignment="1">
      <alignment horizontal="right"/>
      <protection locked="0"/>
    </xf>
    <xf numFmtId="164" fontId="3" fillId="2" borderId="50" xfId="1" applyNumberFormat="1" applyBorder="1" applyAlignment="1">
      <alignment horizontal="right"/>
      <protection locked="0"/>
    </xf>
    <xf numFmtId="164" fontId="3" fillId="2" borderId="5" xfId="1" applyNumberFormat="1" applyBorder="1" applyAlignment="1">
      <alignment horizontal="right"/>
      <protection locked="0"/>
    </xf>
    <xf numFmtId="0" fontId="0" fillId="0" borderId="48" xfId="0" applyBorder="1"/>
    <xf numFmtId="11" fontId="0" fillId="0" borderId="28" xfId="0" applyNumberFormat="1" applyBorder="1" applyAlignment="1">
      <alignment horizontal="right"/>
    </xf>
    <xf numFmtId="11" fontId="0" fillId="0" borderId="31" xfId="0" applyNumberFormat="1" applyFont="1" applyBorder="1" applyAlignment="1">
      <alignment horizontal="right"/>
    </xf>
    <xf numFmtId="11" fontId="0" fillId="0" borderId="28" xfId="0" applyNumberFormat="1" applyFont="1" applyBorder="1" applyAlignment="1">
      <alignment horizontal="right"/>
    </xf>
    <xf numFmtId="11" fontId="0" fillId="0" borderId="31" xfId="0" applyNumberFormat="1" applyBorder="1" applyAlignment="1">
      <alignment horizontal="right"/>
    </xf>
    <xf numFmtId="11" fontId="0" fillId="0" borderId="47" xfId="0" applyNumberFormat="1" applyBorder="1" applyAlignment="1">
      <alignment horizontal="right"/>
    </xf>
    <xf numFmtId="164" fontId="0" fillId="0" borderId="48" xfId="0" applyNumberFormat="1" applyBorder="1"/>
    <xf numFmtId="164" fontId="0" fillId="0" borderId="28" xfId="0" applyNumberFormat="1" applyBorder="1"/>
    <xf numFmtId="11" fontId="0" fillId="0" borderId="47" xfId="0" applyNumberFormat="1" applyFont="1" applyBorder="1" applyAlignment="1">
      <alignment horizontal="right"/>
    </xf>
    <xf numFmtId="3" fontId="30" fillId="0" borderId="25" xfId="0" applyNumberFormat="1" applyFont="1" applyBorder="1" applyAlignment="1"/>
    <xf numFmtId="3" fontId="30" fillId="0" borderId="43" xfId="0" applyNumberFormat="1" applyFont="1" applyBorder="1" applyAlignment="1">
      <alignment horizontal="right"/>
    </xf>
    <xf numFmtId="0" fontId="0" fillId="0" borderId="30" xfId="0" applyFill="1" applyBorder="1" applyAlignment="1">
      <alignment horizontal="right"/>
    </xf>
    <xf numFmtId="0" fontId="0" fillId="0" borderId="30" xfId="0" applyFill="1" applyBorder="1" applyAlignment="1">
      <alignment horizontal="left"/>
    </xf>
    <xf numFmtId="164" fontId="0" fillId="0" borderId="31" xfId="0" applyNumberFormat="1" applyBorder="1"/>
    <xf numFmtId="0" fontId="13" fillId="0" borderId="30" xfId="3" applyNumberFormat="1" applyFont="1" applyFill="1" applyBorder="1" applyAlignment="1"/>
    <xf numFmtId="0" fontId="5" fillId="0" borderId="69" xfId="3" applyNumberFormat="1" applyFill="1" applyBorder="1" applyAlignment="1"/>
    <xf numFmtId="0" fontId="0" fillId="0" borderId="30" xfId="0" applyFont="1" applyFill="1" applyBorder="1"/>
    <xf numFmtId="0" fontId="0" fillId="0" borderId="70" xfId="0" applyFont="1" applyFill="1" applyBorder="1"/>
    <xf numFmtId="164" fontId="0" fillId="0" borderId="30" xfId="0" applyNumberFormat="1" applyFont="1" applyFill="1" applyBorder="1"/>
    <xf numFmtId="0" fontId="0" fillId="0" borderId="30" xfId="0" applyFont="1" applyBorder="1"/>
    <xf numFmtId="0" fontId="0" fillId="0" borderId="30" xfId="0" applyFont="1" applyBorder="1" applyAlignment="1">
      <alignment horizontal="left"/>
    </xf>
    <xf numFmtId="0" fontId="0" fillId="0" borderId="70" xfId="0" applyBorder="1"/>
    <xf numFmtId="0" fontId="0" fillId="0" borderId="70" xfId="0" applyFont="1" applyBorder="1"/>
    <xf numFmtId="0" fontId="0" fillId="0" borderId="69" xfId="0" applyFont="1" applyFill="1" applyBorder="1"/>
    <xf numFmtId="0" fontId="5" fillId="0" borderId="77" xfId="3" applyNumberFormat="1" applyFill="1" applyBorder="1" applyAlignment="1"/>
    <xf numFmtId="11" fontId="5" fillId="0" borderId="77" xfId="3" applyNumberFormat="1" applyFill="1" applyBorder="1" applyAlignment="1"/>
    <xf numFmtId="0" fontId="5" fillId="0" borderId="77" xfId="3" applyNumberFormat="1" applyFill="1" applyBorder="1" applyAlignment="1">
      <alignment horizontal="right"/>
    </xf>
    <xf numFmtId="3" fontId="30" fillId="0" borderId="78" xfId="0" applyNumberFormat="1" applyFont="1" applyBorder="1" applyAlignment="1"/>
    <xf numFmtId="0" fontId="30" fillId="0" borderId="78" xfId="0" applyFont="1" applyBorder="1" applyAlignment="1"/>
    <xf numFmtId="166" fontId="3" fillId="2" borderId="1" xfId="1" applyNumberFormat="1">
      <protection locked="0"/>
    </xf>
    <xf numFmtId="172" fontId="3" fillId="6" borderId="1" xfId="1" applyNumberFormat="1" applyFill="1" applyAlignment="1">
      <alignment horizontal="right"/>
      <protection locked="0"/>
    </xf>
    <xf numFmtId="8" fontId="3" fillId="6" borderId="1" xfId="1" applyNumberFormat="1" applyFill="1" applyAlignment="1">
      <alignment horizontal="right"/>
      <protection locked="0"/>
    </xf>
    <xf numFmtId="8" fontId="3" fillId="6" borderId="49" xfId="1" applyNumberFormat="1" applyFill="1" applyBorder="1" applyAlignment="1">
      <alignment horizontal="right"/>
      <protection locked="0"/>
    </xf>
    <xf numFmtId="2" fontId="3" fillId="6" borderId="1" xfId="1" applyNumberFormat="1" applyFill="1">
      <protection locked="0"/>
    </xf>
    <xf numFmtId="9" fontId="3" fillId="6" borderId="1" xfId="1" applyNumberFormat="1" applyFill="1">
      <protection locked="0"/>
    </xf>
    <xf numFmtId="3" fontId="3" fillId="6" borderId="1" xfId="1" applyNumberFormat="1" applyFill="1">
      <protection locked="0"/>
    </xf>
    <xf numFmtId="0" fontId="3" fillId="6" borderId="1" xfId="1" applyFill="1">
      <protection locked="0"/>
    </xf>
    <xf numFmtId="168" fontId="3" fillId="6" borderId="1" xfId="1" applyNumberFormat="1" applyFill="1">
      <protection locked="0"/>
    </xf>
    <xf numFmtId="3" fontId="3" fillId="6" borderId="56" xfId="4" applyNumberFormat="1" applyFill="1" applyBorder="1" applyAlignment="1">
      <alignment horizontal="right"/>
      <protection locked="0"/>
    </xf>
    <xf numFmtId="171" fontId="3" fillId="6" borderId="4" xfId="1" applyNumberFormat="1" applyFill="1" applyBorder="1" applyAlignment="1">
      <alignment horizontal="right"/>
      <protection locked="0"/>
    </xf>
    <xf numFmtId="0" fontId="34" fillId="0" borderId="0" xfId="0" applyFont="1"/>
    <xf numFmtId="0" fontId="0" fillId="0" borderId="0" xfId="0" quotePrefix="1" applyFill="1" applyBorder="1"/>
    <xf numFmtId="0" fontId="35" fillId="0" borderId="25" xfId="0" applyFont="1" applyBorder="1" applyAlignment="1">
      <alignment horizontal="left"/>
    </xf>
    <xf numFmtId="2" fontId="3" fillId="4" borderId="1" xfId="4" applyNumberFormat="1">
      <protection locked="0"/>
    </xf>
    <xf numFmtId="0" fontId="28" fillId="0" borderId="44" xfId="0" applyFont="1" applyBorder="1" applyAlignment="1">
      <alignment horizontal="left"/>
    </xf>
    <xf numFmtId="0" fontId="27" fillId="0" borderId="44" xfId="0" applyFont="1" applyBorder="1" applyAlignment="1">
      <alignment horizontal="right"/>
    </xf>
    <xf numFmtId="0" fontId="38" fillId="0" borderId="0" xfId="0" applyFont="1" applyAlignment="1">
      <alignment horizontal="left" indent="1"/>
    </xf>
    <xf numFmtId="0" fontId="38" fillId="0" borderId="0" xfId="0" applyFont="1"/>
    <xf numFmtId="175" fontId="38" fillId="0" borderId="0" xfId="0" applyNumberFormat="1" applyFont="1" applyAlignment="1">
      <alignment horizontal="right"/>
    </xf>
    <xf numFmtId="0" fontId="38" fillId="0" borderId="0" xfId="0" quotePrefix="1" applyFont="1"/>
    <xf numFmtId="176" fontId="38" fillId="0" borderId="0" xfId="0" applyNumberFormat="1" applyFont="1" applyAlignment="1">
      <alignment horizontal="right"/>
    </xf>
    <xf numFmtId="0" fontId="36" fillId="0" borderId="79" xfId="0" applyFont="1" applyBorder="1" applyAlignment="1">
      <alignment horizontal="left"/>
    </xf>
    <xf numFmtId="0" fontId="37" fillId="0" borderId="79" xfId="0" applyFont="1" applyBorder="1" applyAlignment="1">
      <alignment horizontal="left"/>
    </xf>
    <xf numFmtId="0" fontId="38" fillId="0" borderId="79" xfId="0" applyFont="1" applyBorder="1" applyAlignment="1">
      <alignment horizontal="right"/>
    </xf>
    <xf numFmtId="3" fontId="0" fillId="0" borderId="0" xfId="0" applyNumberFormat="1" applyBorder="1"/>
    <xf numFmtId="0" fontId="40" fillId="0" borderId="0" xfId="0" applyFont="1" applyAlignment="1">
      <alignment horizontal="left" indent="1"/>
    </xf>
    <xf numFmtId="0" fontId="40" fillId="0" borderId="0" xfId="0" applyFont="1"/>
    <xf numFmtId="164" fontId="40" fillId="0" borderId="0" xfId="0" applyNumberFormat="1" applyFont="1"/>
    <xf numFmtId="0" fontId="39" fillId="0" borderId="80" xfId="0" applyFont="1" applyBorder="1" applyAlignment="1">
      <alignment horizontal="left"/>
    </xf>
    <xf numFmtId="0" fontId="40" fillId="0" borderId="80" xfId="0" applyFont="1" applyBorder="1" applyAlignment="1">
      <alignment horizontal="right"/>
    </xf>
    <xf numFmtId="165" fontId="3" fillId="2" borderId="1" xfId="1" applyNumberFormat="1">
      <protection locked="0"/>
    </xf>
    <xf numFmtId="0" fontId="41" fillId="0" borderId="79" xfId="0" applyFont="1" applyBorder="1" applyAlignment="1">
      <alignment horizontal="left"/>
    </xf>
    <xf numFmtId="0" fontId="42" fillId="0" borderId="80" xfId="0" applyFont="1" applyBorder="1" applyAlignment="1">
      <alignment horizontal="left"/>
    </xf>
    <xf numFmtId="0" fontId="43" fillId="0" borderId="44" xfId="0" applyFont="1" applyBorder="1" applyAlignment="1">
      <alignment horizontal="left"/>
    </xf>
    <xf numFmtId="0" fontId="31" fillId="0" borderId="0" xfId="9" applyBorder="1"/>
    <xf numFmtId="0" fontId="31" fillId="0" borderId="3" xfId="9" applyBorder="1"/>
    <xf numFmtId="0" fontId="31" fillId="0" borderId="0" xfId="9"/>
    <xf numFmtId="0" fontId="5" fillId="0" borderId="3" xfId="5" applyNumberFormat="1" applyFill="1" applyBorder="1" applyAlignment="1"/>
    <xf numFmtId="0" fontId="5" fillId="0" borderId="3" xfId="5" applyNumberFormat="1" applyFill="1" applyBorder="1" applyAlignment="1">
      <alignment horizontal="center"/>
    </xf>
    <xf numFmtId="0" fontId="5" fillId="0" borderId="81" xfId="5" applyNumberFormat="1" applyFill="1" applyBorder="1" applyAlignment="1">
      <alignment horizontal="center"/>
    </xf>
    <xf numFmtId="0" fontId="45" fillId="0" borderId="0" xfId="8" applyAlignment="1"/>
    <xf numFmtId="0" fontId="0" fillId="0" borderId="82" xfId="9" applyFont="1" applyBorder="1" applyAlignment="1">
      <alignment horizontal="left" indent="1"/>
    </xf>
    <xf numFmtId="4" fontId="31" fillId="0" borderId="0" xfId="9" applyNumberFormat="1" applyBorder="1" applyAlignment="1">
      <alignment horizontal="center"/>
    </xf>
    <xf numFmtId="0" fontId="0" fillId="0" borderId="0" xfId="9" quotePrefix="1" applyFont="1" applyBorder="1" applyAlignment="1">
      <alignment horizontal="center"/>
    </xf>
    <xf numFmtId="0" fontId="0" fillId="0" borderId="0" xfId="9" applyFont="1" applyBorder="1" applyAlignment="1">
      <alignment horizontal="left" indent="1"/>
    </xf>
    <xf numFmtId="3" fontId="31" fillId="0" borderId="0" xfId="9" applyNumberFormat="1" applyBorder="1" applyAlignment="1">
      <alignment horizontal="center"/>
    </xf>
    <xf numFmtId="0" fontId="0" fillId="0" borderId="0" xfId="9" applyFont="1" applyBorder="1" applyAlignment="1">
      <alignment horizontal="center"/>
    </xf>
    <xf numFmtId="0" fontId="9" fillId="0" borderId="3" xfId="9" applyFont="1" applyBorder="1" applyAlignment="1"/>
    <xf numFmtId="0" fontId="31" fillId="0" borderId="3" xfId="9" applyBorder="1" applyAlignment="1">
      <alignment horizontal="center"/>
    </xf>
    <xf numFmtId="0" fontId="46" fillId="0" borderId="0" xfId="9" applyFont="1" applyAlignment="1">
      <alignment horizontal="left" indent="2"/>
    </xf>
    <xf numFmtId="0" fontId="31" fillId="0" borderId="0" xfId="9" applyFill="1" applyBorder="1" applyAlignment="1">
      <alignment horizontal="center"/>
    </xf>
    <xf numFmtId="0" fontId="46" fillId="0" borderId="0" xfId="9" applyFont="1" applyBorder="1" applyAlignment="1">
      <alignment horizontal="left" indent="2"/>
    </xf>
    <xf numFmtId="0" fontId="47" fillId="0" borderId="83" xfId="5" applyNumberFormat="1" applyFont="1" applyFill="1" applyBorder="1" applyAlignment="1"/>
    <xf numFmtId="0" fontId="48" fillId="0" borderId="0" xfId="9" applyFont="1"/>
    <xf numFmtId="0" fontId="40" fillId="0" borderId="0" xfId="9" applyFont="1"/>
    <xf numFmtId="0" fontId="14" fillId="0" borderId="0" xfId="9" applyFont="1" applyBorder="1"/>
    <xf numFmtId="0" fontId="14" fillId="0" borderId="0" xfId="9" applyFont="1"/>
    <xf numFmtId="0" fontId="31" fillId="0" borderId="84" xfId="9" applyBorder="1"/>
    <xf numFmtId="0" fontId="31" fillId="0" borderId="85" xfId="9" applyBorder="1"/>
    <xf numFmtId="0" fontId="31" fillId="0" borderId="86" xfId="9" applyBorder="1"/>
    <xf numFmtId="0" fontId="31" fillId="0" borderId="87" xfId="9" applyBorder="1"/>
    <xf numFmtId="0" fontId="11" fillId="0" borderId="3" xfId="9" applyFont="1" applyBorder="1" applyAlignment="1">
      <alignment horizontal="center"/>
    </xf>
    <xf numFmtId="0" fontId="31" fillId="0" borderId="13" xfId="9" applyBorder="1"/>
    <xf numFmtId="0" fontId="3" fillId="2" borderId="1" xfId="1" applyBorder="1" applyAlignment="1">
      <alignment horizontal="center"/>
      <protection locked="0"/>
    </xf>
    <xf numFmtId="6" fontId="49" fillId="2" borderId="1" xfId="1" applyNumberFormat="1" applyFont="1" applyBorder="1" applyAlignment="1">
      <alignment horizontal="center"/>
      <protection locked="0"/>
    </xf>
    <xf numFmtId="0" fontId="0" fillId="0" borderId="0" xfId="9" applyFont="1"/>
    <xf numFmtId="9" fontId="49" fillId="2" borderId="1" xfId="1" applyNumberFormat="1" applyFont="1" applyBorder="1" applyAlignment="1">
      <alignment horizontal="center"/>
      <protection locked="0"/>
    </xf>
    <xf numFmtId="8" fontId="49" fillId="2" borderId="1" xfId="1" applyNumberFormat="1" applyFont="1" applyBorder="1" applyAlignment="1">
      <alignment horizontal="center"/>
      <protection locked="0"/>
    </xf>
    <xf numFmtId="0" fontId="31" fillId="0" borderId="0" xfId="9" applyBorder="1" applyAlignment="1">
      <alignment horizontal="right"/>
    </xf>
    <xf numFmtId="0" fontId="31" fillId="0" borderId="0" xfId="9" applyBorder="1" applyAlignment="1">
      <alignment horizontal="center"/>
    </xf>
    <xf numFmtId="0" fontId="31" fillId="0" borderId="3" xfId="9" applyFont="1" applyBorder="1"/>
    <xf numFmtId="1" fontId="31" fillId="0" borderId="13" xfId="9" applyNumberFormat="1" applyBorder="1"/>
    <xf numFmtId="0" fontId="31" fillId="0" borderId="17" xfId="9" applyBorder="1"/>
    <xf numFmtId="0" fontId="11" fillId="0" borderId="11" xfId="9" applyFont="1" applyBorder="1" applyAlignment="1">
      <alignment horizontal="center"/>
    </xf>
    <xf numFmtId="0" fontId="11" fillId="0" borderId="14" xfId="9" applyFont="1" applyBorder="1" applyAlignment="1">
      <alignment horizontal="center"/>
    </xf>
    <xf numFmtId="0" fontId="11" fillId="0" borderId="12" xfId="9" applyFont="1" applyBorder="1" applyAlignment="1">
      <alignment horizontal="center"/>
    </xf>
    <xf numFmtId="0" fontId="11" fillId="0" borderId="16" xfId="9" applyFont="1" applyBorder="1" applyAlignment="1">
      <alignment horizontal="center"/>
    </xf>
    <xf numFmtId="3" fontId="11" fillId="0" borderId="16" xfId="9" applyNumberFormat="1" applyFont="1" applyBorder="1" applyAlignment="1">
      <alignment horizontal="center"/>
    </xf>
    <xf numFmtId="0" fontId="14" fillId="0" borderId="81" xfId="9" applyFont="1" applyBorder="1" applyAlignment="1">
      <alignment horizontal="center"/>
    </xf>
    <xf numFmtId="0" fontId="14" fillId="0" borderId="88" xfId="9" applyFont="1" applyBorder="1" applyAlignment="1">
      <alignment horizontal="center"/>
    </xf>
    <xf numFmtId="4" fontId="31" fillId="0" borderId="13" xfId="9" applyNumberFormat="1" applyBorder="1" applyAlignment="1">
      <alignment horizontal="center"/>
    </xf>
    <xf numFmtId="3" fontId="31" fillId="0" borderId="13" xfId="9" applyNumberFormat="1" applyBorder="1" applyAlignment="1">
      <alignment horizontal="center"/>
    </xf>
    <xf numFmtId="3" fontId="31" fillId="0" borderId="3" xfId="9" applyNumberFormat="1" applyBorder="1" applyAlignment="1">
      <alignment horizontal="center"/>
    </xf>
    <xf numFmtId="3" fontId="31" fillId="0" borderId="12" xfId="9" applyNumberFormat="1" applyBorder="1" applyAlignment="1">
      <alignment horizontal="center"/>
    </xf>
    <xf numFmtId="0" fontId="31" fillId="0" borderId="89" xfId="9" applyBorder="1"/>
    <xf numFmtId="0" fontId="31" fillId="0" borderId="7" xfId="9" applyBorder="1"/>
    <xf numFmtId="0" fontId="31" fillId="0" borderId="90" xfId="9" applyBorder="1"/>
    <xf numFmtId="3" fontId="31" fillId="0" borderId="82" xfId="9" applyNumberFormat="1" applyBorder="1" applyAlignment="1">
      <alignment horizontal="center"/>
    </xf>
    <xf numFmtId="9" fontId="31" fillId="0" borderId="0" xfId="9" applyNumberFormat="1" applyBorder="1" applyAlignment="1">
      <alignment horizontal="center"/>
    </xf>
    <xf numFmtId="8" fontId="31" fillId="0" borderId="0" xfId="9" applyNumberFormat="1" applyBorder="1" applyAlignment="1">
      <alignment horizontal="center"/>
    </xf>
    <xf numFmtId="172" fontId="31" fillId="0" borderId="0" xfId="9" applyNumberFormat="1" applyBorder="1" applyAlignment="1">
      <alignment horizontal="center"/>
    </xf>
    <xf numFmtId="8" fontId="3" fillId="2" borderId="1" xfId="1" applyNumberFormat="1" applyAlignment="1">
      <alignment horizontal="center"/>
      <protection locked="0"/>
    </xf>
    <xf numFmtId="2" fontId="3" fillId="2" borderId="49" xfId="1" applyNumberFormat="1" applyBorder="1">
      <protection locked="0"/>
    </xf>
    <xf numFmtId="8" fontId="0" fillId="0" borderId="30" xfId="0" applyNumberFormat="1" applyBorder="1"/>
    <xf numFmtId="8" fontId="0" fillId="0" borderId="0" xfId="0" applyNumberFormat="1" applyFill="1" applyBorder="1"/>
    <xf numFmtId="4" fontId="0" fillId="0" borderId="0" xfId="0" applyNumberFormat="1" applyBorder="1"/>
    <xf numFmtId="8" fontId="0" fillId="0" borderId="0" xfId="0" applyNumberFormat="1" applyBorder="1"/>
    <xf numFmtId="168" fontId="26" fillId="0" borderId="0" xfId="0" applyNumberFormat="1" applyFont="1"/>
    <xf numFmtId="3" fontId="0" fillId="0" borderId="58" xfId="0" applyNumberFormat="1" applyBorder="1"/>
    <xf numFmtId="6" fontId="0" fillId="0" borderId="30" xfId="0" applyNumberFormat="1" applyFont="1" applyBorder="1"/>
    <xf numFmtId="10" fontId="40" fillId="0" borderId="0" xfId="0" applyNumberFormat="1" applyFont="1"/>
    <xf numFmtId="0" fontId="0" fillId="0" borderId="93" xfId="0" applyBorder="1"/>
    <xf numFmtId="0" fontId="0" fillId="0" borderId="93" xfId="0" applyBorder="1" applyAlignment="1">
      <alignment horizontal="left" indent="1"/>
    </xf>
    <xf numFmtId="166" fontId="0" fillId="0" borderId="91" xfId="0" applyNumberFormat="1" applyBorder="1" applyAlignment="1">
      <alignment horizontal="left"/>
    </xf>
    <xf numFmtId="166" fontId="0" fillId="0" borderId="92" xfId="0" applyNumberFormat="1" applyBorder="1" applyAlignment="1">
      <alignment horizontal="left"/>
    </xf>
    <xf numFmtId="174" fontId="38" fillId="0" borderId="0" xfId="0" applyNumberFormat="1" applyFont="1"/>
    <xf numFmtId="164" fontId="26" fillId="0" borderId="0" xfId="0" applyNumberFormat="1" applyFont="1"/>
    <xf numFmtId="0" fontId="0" fillId="0" borderId="0" xfId="0" applyAlignment="1">
      <alignment horizontal="left" vertical="top"/>
    </xf>
    <xf numFmtId="0" fontId="0" fillId="0" borderId="0" xfId="0" applyAlignment="1">
      <alignment horizontal="left" vertical="top" wrapText="1"/>
    </xf>
    <xf numFmtId="9" fontId="3" fillId="2" borderId="1" xfId="1" applyNumberFormat="1" applyAlignment="1">
      <alignment horizontal="center"/>
      <protection locked="0"/>
    </xf>
    <xf numFmtId="0" fontId="0" fillId="0" borderId="0" xfId="0" applyAlignment="1">
      <alignment horizontal="left" vertical="top" wrapText="1" indent="1"/>
    </xf>
    <xf numFmtId="0" fontId="0" fillId="0" borderId="0" xfId="0" applyBorder="1" applyAlignment="1">
      <alignment horizontal="left"/>
    </xf>
    <xf numFmtId="0" fontId="54" fillId="0" borderId="0" xfId="10"/>
    <xf numFmtId="3" fontId="3" fillId="2" borderId="1" xfId="1" applyNumberFormat="1" applyAlignment="1">
      <alignment horizontal="center"/>
      <protection locked="0"/>
    </xf>
    <xf numFmtId="4" fontId="3" fillId="2" borderId="1" xfId="1" applyNumberFormat="1" applyAlignment="1">
      <alignment horizontal="center"/>
      <protection locked="0"/>
    </xf>
    <xf numFmtId="172" fontId="3" fillId="2" borderId="1" xfId="1" applyNumberFormat="1" applyAlignment="1">
      <alignment horizontal="center"/>
      <protection locked="0"/>
    </xf>
    <xf numFmtId="6" fontId="26" fillId="0" borderId="0" xfId="0" applyNumberFormat="1" applyFont="1"/>
    <xf numFmtId="3" fontId="49" fillId="2" borderId="1" xfId="1" applyNumberFormat="1" applyFont="1" applyBorder="1" applyAlignment="1">
      <alignment horizontal="center"/>
      <protection locked="0"/>
    </xf>
    <xf numFmtId="11" fontId="3" fillId="2" borderId="1" xfId="1" applyNumberFormat="1">
      <protection locked="0"/>
    </xf>
    <xf numFmtId="0" fontId="25" fillId="0" borderId="0" xfId="0" applyFont="1" applyFill="1" applyAlignment="1">
      <alignment horizontal="right"/>
    </xf>
    <xf numFmtId="0" fontId="54" fillId="0" borderId="0" xfId="10" applyAlignment="1">
      <alignment horizontal="left" indent="3"/>
    </xf>
    <xf numFmtId="0" fontId="0" fillId="0" borderId="0" xfId="0" applyBorder="1" applyAlignment="1">
      <alignment horizontal="left" vertical="top" wrapText="1"/>
    </xf>
    <xf numFmtId="0" fontId="0" fillId="0" borderId="0" xfId="0" applyAlignment="1">
      <alignment horizontal="left" vertical="top" wrapText="1"/>
    </xf>
    <xf numFmtId="0" fontId="3" fillId="2" borderId="1" xfId="1" applyAlignment="1">
      <alignment horizontal="center" vertical="center"/>
      <protection locked="0"/>
    </xf>
    <xf numFmtId="173" fontId="26" fillId="0" borderId="0" xfId="0" applyNumberFormat="1" applyFont="1" applyAlignment="1">
      <alignment horizontal="center"/>
    </xf>
    <xf numFmtId="173" fontId="26" fillId="0" borderId="44" xfId="0" applyNumberFormat="1" applyFont="1" applyBorder="1" applyAlignment="1">
      <alignment horizontal="center"/>
    </xf>
  </cellXfs>
  <cellStyles count="11">
    <cellStyle name="1.  Input" xfId="1"/>
    <cellStyle name="2.  Heading" xfId="2"/>
    <cellStyle name="2.  Heading 2" xfId="3"/>
    <cellStyle name="2.  Input 2" xfId="4"/>
    <cellStyle name="3.  Heading 2" xfId="7"/>
    <cellStyle name="4.  Heading 2" xfId="5"/>
    <cellStyle name="5.  Title" xfId="6"/>
    <cellStyle name="Hyperlink" xfId="10" builtinId="8"/>
    <cellStyle name="Normal" xfId="0" builtinId="0"/>
    <cellStyle name="Normal 2" xfId="8"/>
    <cellStyle name="Normal 2 2"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Equipment costs</a:t>
            </a:r>
          </a:p>
        </c:rich>
      </c:tx>
      <c:layout>
        <c:manualLayout>
          <c:xMode val="edge"/>
          <c:yMode val="edge"/>
          <c:x val="0.16588729533343252"/>
          <c:y val="0.2534205422598965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1DD-4179-AB4E-5A78E6936F6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1DD-4179-AB4E-5A78E6936F6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1DD-4179-AB4E-5A78E6936F6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1DD-4179-AB4E-5A78E6936F6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1DD-4179-AB4E-5A78E6936F6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1DD-4179-AB4E-5A78E6936F6B}"/>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'Equipment costs'!$I$52:$I$57</c:f>
              <c:strCache>
                <c:ptCount val="6"/>
                <c:pt idx="0">
                  <c:v>Fermenters</c:v>
                </c:pt>
                <c:pt idx="1">
                  <c:v>Vessels</c:v>
                </c:pt>
                <c:pt idx="2">
                  <c:v>Separation </c:v>
                </c:pt>
                <c:pt idx="3">
                  <c:v>Compressor</c:v>
                </c:pt>
                <c:pt idx="4">
                  <c:v>Inline sterilizers</c:v>
                </c:pt>
                <c:pt idx="5">
                  <c:v>Other</c:v>
                </c:pt>
              </c:strCache>
            </c:strRef>
          </c:cat>
          <c:val>
            <c:numRef>
              <c:f>'Equipment costs'!$J$52:$J$57</c:f>
              <c:numCache>
                <c:formatCode>"$"#,##0_);[Red]\("$"#,##0\)</c:formatCode>
                <c:ptCount val="6"/>
                <c:pt idx="0">
                  <c:v>2583053.7825845638</c:v>
                </c:pt>
                <c:pt idx="1">
                  <c:v>3597142.4752587555</c:v>
                </c:pt>
                <c:pt idx="2">
                  <c:v>224022.08878277242</c:v>
                </c:pt>
                <c:pt idx="3">
                  <c:v>1244532.7901136803</c:v>
                </c:pt>
                <c:pt idx="4">
                  <c:v>3434992.842632812</c:v>
                </c:pt>
                <c:pt idx="5">
                  <c:v>19282.461112229004</c:v>
                </c:pt>
              </c:numCache>
            </c:numRef>
          </c:val>
          <c:extLst>
            <c:ext xmlns:c16="http://schemas.microsoft.com/office/drawing/2014/chart" uri="{C3380CC4-5D6E-409C-BE32-E72D297353CC}">
              <c16:uniqueId val="{0000000C-71DD-4179-AB4E-5A78E6936F6B}"/>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Operating</a:t>
            </a:r>
            <a:r>
              <a:rPr lang="en-US" baseline="0"/>
              <a:t> costs</a:t>
            </a:r>
            <a:endParaRPr lang="en-US"/>
          </a:p>
        </c:rich>
      </c:tx>
      <c:layout>
        <c:manualLayout>
          <c:xMode val="edge"/>
          <c:yMode val="edge"/>
          <c:x val="8.9931177160889247E-2"/>
          <c:y val="0.26142937318406739"/>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9976224846894139"/>
          <c:y val="0.28449814463320555"/>
          <c:w val="0.35778419681293172"/>
          <c:h val="0.53982110394760008"/>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479-46EE-9A15-4298626811A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479-46EE-9A15-4298626811A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479-46EE-9A15-4298626811A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479-46EE-9A15-4298626811A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479-46EE-9A15-4298626811A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479-46EE-9A15-4298626811A6}"/>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'OpEx &amp; Rev'!$B$6:$B$11</c:f>
              <c:strCache>
                <c:ptCount val="6"/>
                <c:pt idx="0">
                  <c:v>Raw materials</c:v>
                </c:pt>
                <c:pt idx="1">
                  <c:v>Utilities</c:v>
                </c:pt>
                <c:pt idx="2">
                  <c:v>Labor</c:v>
                </c:pt>
                <c:pt idx="3">
                  <c:v>Waste treatment</c:v>
                </c:pt>
                <c:pt idx="4">
                  <c:v>Facilities</c:v>
                </c:pt>
                <c:pt idx="5">
                  <c:v>Laboratory</c:v>
                </c:pt>
              </c:strCache>
            </c:strRef>
          </c:cat>
          <c:val>
            <c:numRef>
              <c:f>'OpEx &amp; Rev'!$E$6:$E$11</c:f>
              <c:numCache>
                <c:formatCode>"$"#,##0_);[Red]\("$"#,##0\)</c:formatCode>
                <c:ptCount val="6"/>
                <c:pt idx="0">
                  <c:v>8136519.1297820173</c:v>
                </c:pt>
                <c:pt idx="1">
                  <c:v>5672477.9933996815</c:v>
                </c:pt>
                <c:pt idx="2">
                  <c:v>756146.99999999988</c:v>
                </c:pt>
                <c:pt idx="3">
                  <c:v>584859.28370483534</c:v>
                </c:pt>
                <c:pt idx="4">
                  <c:v>10313441.530988192</c:v>
                </c:pt>
                <c:pt idx="5">
                  <c:v>21000</c:v>
                </c:pt>
              </c:numCache>
            </c:numRef>
          </c:val>
          <c:extLst>
            <c:ext xmlns:c16="http://schemas.microsoft.com/office/drawing/2014/chart" uri="{C3380CC4-5D6E-409C-BE32-E72D297353CC}">
              <c16:uniqueId val="{0000000C-6479-46EE-9A15-4298626811A6}"/>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t>Tornado</a:t>
            </a:r>
            <a:r>
              <a:rPr lang="en-US" baseline="0"/>
              <a:t> </a:t>
            </a:r>
            <a:r>
              <a:rPr lang="en-US"/>
              <a:t>diagram</a:t>
            </a:r>
          </a:p>
        </c:rich>
      </c:tx>
      <c:overlay val="0"/>
      <c:spPr>
        <a:noFill/>
        <a:ln>
          <a:noFill/>
        </a:ln>
        <a:effectLst/>
      </c:spPr>
    </c:title>
    <c:autoTitleDeleted val="0"/>
    <c:plotArea>
      <c:layout>
        <c:manualLayout>
          <c:layoutTarget val="inner"/>
          <c:xMode val="edge"/>
          <c:yMode val="edge"/>
          <c:x val="0.35398452459763236"/>
          <c:y val="0.11692515299340796"/>
          <c:w val="0.53371470163224921"/>
          <c:h val="0.75658455289489845"/>
        </c:manualLayout>
      </c:layout>
      <c:barChart>
        <c:barDir val="bar"/>
        <c:grouping val="clustered"/>
        <c:varyColors val="0"/>
        <c:ser>
          <c:idx val="1"/>
          <c:order val="0"/>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accent3"/>
              </a:solidFill>
              <a:round/>
            </a:ln>
            <a:effectLst>
              <a:outerShdw blurRad="40000" dist="20000" dir="5400000" rotWithShape="0">
                <a:srgbClr val="000000">
                  <a:alpha val="38000"/>
                </a:srgbClr>
              </a:outerShdw>
            </a:effectLst>
          </c:spPr>
          <c:invertIfNegative val="0"/>
          <c:cat>
            <c:strRef>
              <c:f>Tornado!$H$66:$H$75</c:f>
              <c:strCache>
                <c:ptCount val="10"/>
                <c:pt idx="0">
                  <c:v>Methionine price</c:v>
                </c:pt>
                <c:pt idx="1">
                  <c:v>Maintenance factor</c:v>
                </c:pt>
                <c:pt idx="2">
                  <c:v>Fermentation time</c:v>
                </c:pt>
                <c:pt idx="3">
                  <c:v>Power price</c:v>
                </c:pt>
                <c:pt idx="4">
                  <c:v>Plant capacity</c:v>
                </c:pt>
                <c:pt idx="5">
                  <c:v>Max fermenter size</c:v>
                </c:pt>
                <c:pt idx="6">
                  <c:v>Product price</c:v>
                </c:pt>
                <c:pt idx="7">
                  <c:v>Crystallization yield</c:v>
                </c:pt>
                <c:pt idx="8">
                  <c:v>Fermentation air rate</c:v>
                </c:pt>
                <c:pt idx="9">
                  <c:v>Batches per year</c:v>
                </c:pt>
              </c:strCache>
            </c:strRef>
          </c:cat>
          <c:val>
            <c:numRef>
              <c:f>Tornado!$J$66:$J$75</c:f>
              <c:numCache>
                <c:formatCode>#,##0.00</c:formatCode>
                <c:ptCount val="10"/>
                <c:pt idx="0">
                  <c:v>0.17419827249830799</c:v>
                </c:pt>
                <c:pt idx="1">
                  <c:v>0.1781575425722759</c:v>
                </c:pt>
                <c:pt idx="2">
                  <c:v>0.17850890140577635</c:v>
                </c:pt>
                <c:pt idx="3">
                  <c:v>0.1762006815624364</c:v>
                </c:pt>
                <c:pt idx="4">
                  <c:v>0.1767241209951298</c:v>
                </c:pt>
                <c:pt idx="5" formatCode="#,##0">
                  <c:v>0.18550480674299097</c:v>
                </c:pt>
                <c:pt idx="6">
                  <c:v>0.1902659379248397</c:v>
                </c:pt>
                <c:pt idx="7">
                  <c:v>0.18448157562235457</c:v>
                </c:pt>
                <c:pt idx="8">
                  <c:v>0.19142790371116103</c:v>
                </c:pt>
                <c:pt idx="9">
                  <c:v>0.19120504055317045</c:v>
                </c:pt>
              </c:numCache>
            </c:numRef>
          </c:val>
          <c:extLst>
            <c:ext xmlns:c16="http://schemas.microsoft.com/office/drawing/2014/chart" uri="{C3380CC4-5D6E-409C-BE32-E72D297353CC}">
              <c16:uniqueId val="{00000000-7B48-44AF-8239-C533DFF4CD13}"/>
            </c:ext>
          </c:extLst>
        </c:ser>
        <c:ser>
          <c:idx val="0"/>
          <c:order val="1"/>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accent1"/>
              </a:solidFill>
              <a:round/>
            </a:ln>
            <a:effectLst>
              <a:outerShdw blurRad="40000" dist="20000" dir="5400000" rotWithShape="0">
                <a:srgbClr val="000000">
                  <a:alpha val="38000"/>
                </a:srgbClr>
              </a:outerShdw>
            </a:effectLst>
          </c:spPr>
          <c:invertIfNegative val="0"/>
          <c:cat>
            <c:strRef>
              <c:f>Tornado!$H$66:$H$75</c:f>
              <c:strCache>
                <c:ptCount val="10"/>
                <c:pt idx="0">
                  <c:v>Methionine price</c:v>
                </c:pt>
                <c:pt idx="1">
                  <c:v>Maintenance factor</c:v>
                </c:pt>
                <c:pt idx="2">
                  <c:v>Fermentation time</c:v>
                </c:pt>
                <c:pt idx="3">
                  <c:v>Power price</c:v>
                </c:pt>
                <c:pt idx="4">
                  <c:v>Plant capacity</c:v>
                </c:pt>
                <c:pt idx="5">
                  <c:v>Max fermenter size</c:v>
                </c:pt>
                <c:pt idx="6">
                  <c:v>Product price</c:v>
                </c:pt>
                <c:pt idx="7">
                  <c:v>Crystallization yield</c:v>
                </c:pt>
                <c:pt idx="8">
                  <c:v>Fermentation air rate</c:v>
                </c:pt>
                <c:pt idx="9">
                  <c:v>Batches per year</c:v>
                </c:pt>
              </c:strCache>
            </c:strRef>
          </c:cat>
          <c:val>
            <c:numRef>
              <c:f>Tornado!$I$66:$I$75</c:f>
              <c:numCache>
                <c:formatCode>#,##0.00</c:formatCode>
                <c:ptCount val="10"/>
                <c:pt idx="0">
                  <c:v>0.17330492203708148</c:v>
                </c:pt>
                <c:pt idx="1">
                  <c:v>0.16955074412680982</c:v>
                </c:pt>
                <c:pt idx="2">
                  <c:v>0.16923783241295753</c:v>
                </c:pt>
                <c:pt idx="3">
                  <c:v>0.16918876300681518</c:v>
                </c:pt>
                <c:pt idx="4">
                  <c:v>0.16854081593776926</c:v>
                </c:pt>
                <c:pt idx="5" formatCode="#,##0">
                  <c:v>0.16712682187661554</c:v>
                </c:pt>
                <c:pt idx="6">
                  <c:v>0.16262551222585864</c:v>
                </c:pt>
                <c:pt idx="7">
                  <c:v>0.16101446312105594</c:v>
                </c:pt>
                <c:pt idx="8">
                  <c:v>0.15827788352388361</c:v>
                </c:pt>
                <c:pt idx="9">
                  <c:v>0.15390068955137148</c:v>
                </c:pt>
              </c:numCache>
            </c:numRef>
          </c:val>
          <c:extLst>
            <c:ext xmlns:c16="http://schemas.microsoft.com/office/drawing/2014/chart" uri="{C3380CC4-5D6E-409C-BE32-E72D297353CC}">
              <c16:uniqueId val="{00000001-7B48-44AF-8239-C533DFF4CD13}"/>
            </c:ext>
          </c:extLst>
        </c:ser>
        <c:dLbls>
          <c:showLegendKey val="0"/>
          <c:showVal val="0"/>
          <c:showCatName val="0"/>
          <c:showSerName val="0"/>
          <c:showPercent val="0"/>
          <c:showBubbleSize val="0"/>
        </c:dLbls>
        <c:gapWidth val="85"/>
        <c:overlap val="100"/>
        <c:axId val="241108480"/>
        <c:axId val="241115520"/>
      </c:barChart>
      <c:catAx>
        <c:axId val="241108480"/>
        <c:scaling>
          <c:orientation val="minMax"/>
        </c:scaling>
        <c:delete val="0"/>
        <c:axPos val="l"/>
        <c:numFmt formatCode="General"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50000"/>
                    <a:lumOff val="50000"/>
                  </a:schemeClr>
                </a:solidFill>
                <a:latin typeface="+mn-lt"/>
                <a:ea typeface="+mn-ea"/>
                <a:cs typeface="+mn-cs"/>
              </a:defRPr>
            </a:pPr>
            <a:endParaRPr lang="en-US"/>
          </a:p>
        </c:txPr>
        <c:crossAx val="241115520"/>
        <c:crossesAt val="0.1738735901276085"/>
        <c:auto val="1"/>
        <c:lblAlgn val="ctr"/>
        <c:lblOffset val="100"/>
        <c:noMultiLvlLbl val="0"/>
      </c:catAx>
      <c:valAx>
        <c:axId val="241115520"/>
        <c:scaling>
          <c:orientation val="minMax"/>
          <c:max val="0.20000000000000004"/>
          <c:min val="0.1400000000000000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0" i="0" u="none" strike="noStrike" kern="1200" cap="all" baseline="0">
                    <a:solidFill>
                      <a:schemeClr val="tx1">
                        <a:lumMod val="50000"/>
                        <a:lumOff val="50000"/>
                      </a:schemeClr>
                    </a:solidFill>
                    <a:latin typeface="+mn-lt"/>
                    <a:ea typeface="+mn-ea"/>
                    <a:cs typeface="+mn-cs"/>
                  </a:defRPr>
                </a:pPr>
                <a:r>
                  <a:rPr lang="en-US" sz="1050"/>
                  <a:t>IRR</a:t>
                </a:r>
              </a:p>
            </c:rich>
          </c:tx>
          <c:layout>
            <c:manualLayout>
              <c:xMode val="edge"/>
              <c:yMode val="edge"/>
              <c:x val="0.50758377508184815"/>
              <c:y val="0.94193759356153761"/>
            </c:manualLayout>
          </c:layout>
          <c:overlay val="0"/>
          <c:spPr>
            <a:noFill/>
            <a:ln>
              <a:noFill/>
            </a:ln>
            <a:effectLst/>
          </c:sp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50000"/>
                    <a:lumOff val="50000"/>
                  </a:schemeClr>
                </a:solidFill>
                <a:latin typeface="+mn-lt"/>
                <a:ea typeface="+mn-ea"/>
                <a:cs typeface="+mn-cs"/>
              </a:defRPr>
            </a:pPr>
            <a:endParaRPr lang="en-US"/>
          </a:p>
        </c:txPr>
        <c:crossAx val="241108480"/>
        <c:crosses val="autoZero"/>
        <c:crossBetween val="between"/>
        <c:majorUnit val="2.0000000000000004E-2"/>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Equipment costs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7A4-4E65-B6C2-4B5575CBB58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7A4-4E65-B6C2-4B5575CBB58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7A4-4E65-B6C2-4B5575CBB58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7A4-4E65-B6C2-4B5575CBB58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7A4-4E65-B6C2-4B5575CBB58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7A4-4E65-B6C2-4B5575CBB58E}"/>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'Equipment costs'!$I$52:$I$57</c:f>
              <c:strCache>
                <c:ptCount val="6"/>
                <c:pt idx="0">
                  <c:v>Fermenters</c:v>
                </c:pt>
                <c:pt idx="1">
                  <c:v>Vessels</c:v>
                </c:pt>
                <c:pt idx="2">
                  <c:v>Separation </c:v>
                </c:pt>
                <c:pt idx="3">
                  <c:v>Compressor</c:v>
                </c:pt>
                <c:pt idx="4">
                  <c:v>Inline sterilizers</c:v>
                </c:pt>
                <c:pt idx="5">
                  <c:v>Other</c:v>
                </c:pt>
              </c:strCache>
            </c:strRef>
          </c:cat>
          <c:val>
            <c:numRef>
              <c:f>'Equipment costs'!$J$52:$J$57</c:f>
              <c:numCache>
                <c:formatCode>"$"#,##0_);[Red]\("$"#,##0\)</c:formatCode>
                <c:ptCount val="6"/>
                <c:pt idx="0">
                  <c:v>2583053.7825845638</c:v>
                </c:pt>
                <c:pt idx="1">
                  <c:v>3597142.4752587555</c:v>
                </c:pt>
                <c:pt idx="2">
                  <c:v>224022.08878277242</c:v>
                </c:pt>
                <c:pt idx="3">
                  <c:v>1244532.7901136803</c:v>
                </c:pt>
                <c:pt idx="4">
                  <c:v>3434992.842632812</c:v>
                </c:pt>
                <c:pt idx="5">
                  <c:v>19282.461112229004</c:v>
                </c:pt>
              </c:numCache>
            </c:numRef>
          </c:val>
          <c:extLst>
            <c:ext xmlns:c16="http://schemas.microsoft.com/office/drawing/2014/chart" uri="{C3380CC4-5D6E-409C-BE32-E72D297353CC}">
              <c16:uniqueId val="{00000000-DAB6-424C-82D9-D191F71C32E1}"/>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D8D-447F-9FB0-7AE69B3C0CD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D8D-447F-9FB0-7AE69B3C0CD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D8D-447F-9FB0-7AE69B3C0CD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D8D-447F-9FB0-7AE69B3C0CD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D8D-447F-9FB0-7AE69B3C0CD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D8D-447F-9FB0-7AE69B3C0CD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ED8D-447F-9FB0-7AE69B3C0CD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ED8D-447F-9FB0-7AE69B3C0CD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ED8D-447F-9FB0-7AE69B3C0CD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ED8D-447F-9FB0-7AE69B3C0CD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ED8D-447F-9FB0-7AE69B3C0CD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ED8D-447F-9FB0-7AE69B3C0CD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ED8D-447F-9FB0-7AE69B3C0CD4}"/>
              </c:ext>
            </c:extLst>
          </c:dPt>
          <c:dLbls>
            <c:spPr>
              <a:noFill/>
              <a:ln>
                <a:noFill/>
              </a:ln>
              <a:effectLst/>
            </c:spPr>
            <c:txPr>
              <a:bodyPr rot="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(CapEx!$B$29:$B$37,CapEx!$B$42:$B$43,CapEx!$B$48:$B$49)</c:f>
              <c:strCache>
                <c:ptCount val="13"/>
                <c:pt idx="0">
                  <c:v>Equipment purchase</c:v>
                </c:pt>
                <c:pt idx="1">
                  <c:v>Installation</c:v>
                </c:pt>
                <c:pt idx="2">
                  <c:v>Piping</c:v>
                </c:pt>
                <c:pt idx="3">
                  <c:v>Instrumentation</c:v>
                </c:pt>
                <c:pt idx="4">
                  <c:v>Insulation</c:v>
                </c:pt>
                <c:pt idx="5">
                  <c:v>Electrical facilities</c:v>
                </c:pt>
                <c:pt idx="6">
                  <c:v>Buildings</c:v>
                </c:pt>
                <c:pt idx="7">
                  <c:v>Yard improvements</c:v>
                </c:pt>
                <c:pt idx="8">
                  <c:v>Auxiliary facilities</c:v>
                </c:pt>
                <c:pt idx="9">
                  <c:v>Engineering</c:v>
                </c:pt>
                <c:pt idx="10">
                  <c:v>Construction</c:v>
                </c:pt>
                <c:pt idx="11">
                  <c:v>Contractor's fee</c:v>
                </c:pt>
                <c:pt idx="12">
                  <c:v>Contingency</c:v>
                </c:pt>
              </c:strCache>
            </c:strRef>
          </c:cat>
          <c:val>
            <c:numRef>
              <c:f>(CapEx!$F$29:$F$37,CapEx!$F$42:$F$43,CapEx!$F$48:$F$49)</c:f>
              <c:numCache>
                <c:formatCode>"$"#,##0_);[Red]\("$"#,##0\)</c:formatCode>
                <c:ptCount val="13"/>
                <c:pt idx="0">
                  <c:v>38717776.737758085</c:v>
                </c:pt>
                <c:pt idx="1">
                  <c:v>13038915.277372718</c:v>
                </c:pt>
                <c:pt idx="2">
                  <c:v>5807666.5106637124</c:v>
                </c:pt>
                <c:pt idx="3">
                  <c:v>7743555.3475516178</c:v>
                </c:pt>
                <c:pt idx="4">
                  <c:v>1161533.3021327425</c:v>
                </c:pt>
                <c:pt idx="5">
                  <c:v>3871777.6737758089</c:v>
                </c:pt>
                <c:pt idx="6">
                  <c:v>3871777.6737758089</c:v>
                </c:pt>
                <c:pt idx="7">
                  <c:v>1935888.8368879044</c:v>
                </c:pt>
                <c:pt idx="8">
                  <c:v>3871777.6737758089</c:v>
                </c:pt>
                <c:pt idx="9">
                  <c:v>12003100.355054131</c:v>
                </c:pt>
                <c:pt idx="10">
                  <c:v>20005167.258423552</c:v>
                </c:pt>
                <c:pt idx="11">
                  <c:v>5601446.832358595</c:v>
                </c:pt>
                <c:pt idx="12">
                  <c:v>11202893.66471719</c:v>
                </c:pt>
              </c:numCache>
            </c:numRef>
          </c:val>
          <c:extLst>
            <c:ext xmlns:c16="http://schemas.microsoft.com/office/drawing/2014/chart" uri="{C3380CC4-5D6E-409C-BE32-E72D297353CC}">
              <c16:uniqueId val="{00000000-602E-4F15-9305-79D1A5E80B0A}"/>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OpEx distribution</a:t>
            </a:r>
          </a:p>
        </c:rich>
      </c:tx>
      <c:layout>
        <c:manualLayout>
          <c:xMode val="edge"/>
          <c:yMode val="edge"/>
          <c:x val="8.7270778652668413E-2"/>
          <c:y val="0.1064814814814814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9976224846894139"/>
          <c:y val="0.15721930592009331"/>
          <c:w val="0.44214238845144355"/>
          <c:h val="0.7369039807524059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53A-4BDD-B4C9-9206468FBFB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53A-4BDD-B4C9-9206468FBFB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53A-4BDD-B4C9-9206468FBFB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53A-4BDD-B4C9-9206468FBFB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53A-4BDD-B4C9-9206468FBFB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53A-4BDD-B4C9-9206468FBFB2}"/>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'OpEx &amp; Rev'!$B$6:$B$11</c:f>
              <c:strCache>
                <c:ptCount val="6"/>
                <c:pt idx="0">
                  <c:v>Raw materials</c:v>
                </c:pt>
                <c:pt idx="1">
                  <c:v>Utilities</c:v>
                </c:pt>
                <c:pt idx="2">
                  <c:v>Labor</c:v>
                </c:pt>
                <c:pt idx="3">
                  <c:v>Waste treatment</c:v>
                </c:pt>
                <c:pt idx="4">
                  <c:v>Facilities</c:v>
                </c:pt>
                <c:pt idx="5">
                  <c:v>Laboratory</c:v>
                </c:pt>
              </c:strCache>
            </c:strRef>
          </c:cat>
          <c:val>
            <c:numRef>
              <c:f>'OpEx &amp; Rev'!$E$6:$E$11</c:f>
              <c:numCache>
                <c:formatCode>"$"#,##0_);[Red]\("$"#,##0\)</c:formatCode>
                <c:ptCount val="6"/>
                <c:pt idx="0">
                  <c:v>8136519.1297820173</c:v>
                </c:pt>
                <c:pt idx="1">
                  <c:v>5672477.9933996815</c:v>
                </c:pt>
                <c:pt idx="2">
                  <c:v>756146.99999999988</c:v>
                </c:pt>
                <c:pt idx="3">
                  <c:v>584859.28370483534</c:v>
                </c:pt>
                <c:pt idx="4">
                  <c:v>10313441.530988192</c:v>
                </c:pt>
                <c:pt idx="5">
                  <c:v>21000</c:v>
                </c:pt>
              </c:numCache>
            </c:numRef>
          </c:val>
          <c:extLst>
            <c:ext xmlns:c16="http://schemas.microsoft.com/office/drawing/2014/chart" uri="{C3380CC4-5D6E-409C-BE32-E72D297353CC}">
              <c16:uniqueId val="{00000000-7268-4458-B333-8EBB4FD7F505}"/>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320" b="0" i="0" u="none" strike="noStrike" kern="1200" spc="0" baseline="0">
                <a:solidFill>
                  <a:schemeClr val="tx1">
                    <a:lumMod val="65000"/>
                    <a:lumOff val="35000"/>
                  </a:schemeClr>
                </a:solidFill>
                <a:latin typeface="+mn-lt"/>
                <a:ea typeface="+mn-ea"/>
                <a:cs typeface="+mn-cs"/>
              </a:defRPr>
            </a:pPr>
            <a:r>
              <a:rPr lang="en-US"/>
              <a:t>Raw material costs</a:t>
            </a:r>
          </a:p>
        </c:rich>
      </c:tx>
      <c:layout>
        <c:manualLayout>
          <c:xMode val="edge"/>
          <c:yMode val="edge"/>
          <c:x val="0.11504855643044622"/>
          <c:y val="0.12962962962962962"/>
        </c:manualLayout>
      </c:layout>
      <c:overlay val="0"/>
      <c:spPr>
        <a:noFill/>
        <a:ln>
          <a:noFill/>
        </a:ln>
        <a:effectLst/>
      </c:spPr>
      <c:txPr>
        <a:bodyPr rot="0" spcFirstLastPara="1" vertOverflow="ellipsis" vert="horz" wrap="square" anchor="ctr" anchorCtr="1"/>
        <a:lstStyle/>
        <a:p>
          <a:pPr>
            <a:defRPr sz="132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hade val="42000"/>
                </a:schemeClr>
              </a:solidFill>
              <a:ln w="19050">
                <a:solidFill>
                  <a:schemeClr val="lt1"/>
                </a:solidFill>
              </a:ln>
              <a:effectLst/>
            </c:spPr>
            <c:extLst>
              <c:ext xmlns:c16="http://schemas.microsoft.com/office/drawing/2014/chart" uri="{C3380CC4-5D6E-409C-BE32-E72D297353CC}">
                <c16:uniqueId val="{00000001-097C-4898-8460-D183126E4F44}"/>
              </c:ext>
            </c:extLst>
          </c:dPt>
          <c:dPt>
            <c:idx val="1"/>
            <c:bubble3D val="0"/>
            <c:spPr>
              <a:solidFill>
                <a:schemeClr val="accent1">
                  <a:shade val="55000"/>
                </a:schemeClr>
              </a:solidFill>
              <a:ln w="19050">
                <a:solidFill>
                  <a:schemeClr val="lt1"/>
                </a:solidFill>
              </a:ln>
              <a:effectLst/>
            </c:spPr>
            <c:extLst>
              <c:ext xmlns:c16="http://schemas.microsoft.com/office/drawing/2014/chart" uri="{C3380CC4-5D6E-409C-BE32-E72D297353CC}">
                <c16:uniqueId val="{00000003-097C-4898-8460-D183126E4F44}"/>
              </c:ext>
            </c:extLst>
          </c:dPt>
          <c:dPt>
            <c:idx val="2"/>
            <c:bubble3D val="0"/>
            <c:spPr>
              <a:solidFill>
                <a:schemeClr val="accent1">
                  <a:shade val="68000"/>
                </a:schemeClr>
              </a:solidFill>
              <a:ln w="19050">
                <a:solidFill>
                  <a:schemeClr val="lt1"/>
                </a:solidFill>
              </a:ln>
              <a:effectLst/>
            </c:spPr>
            <c:extLst>
              <c:ext xmlns:c16="http://schemas.microsoft.com/office/drawing/2014/chart" uri="{C3380CC4-5D6E-409C-BE32-E72D297353CC}">
                <c16:uniqueId val="{00000005-097C-4898-8460-D183126E4F44}"/>
              </c:ext>
            </c:extLst>
          </c:dPt>
          <c:dPt>
            <c:idx val="3"/>
            <c:bubble3D val="0"/>
            <c:spPr>
              <a:solidFill>
                <a:schemeClr val="accent1">
                  <a:shade val="80000"/>
                </a:schemeClr>
              </a:solidFill>
              <a:ln w="19050">
                <a:solidFill>
                  <a:schemeClr val="lt1"/>
                </a:solidFill>
              </a:ln>
              <a:effectLst/>
            </c:spPr>
            <c:extLst>
              <c:ext xmlns:c16="http://schemas.microsoft.com/office/drawing/2014/chart" uri="{C3380CC4-5D6E-409C-BE32-E72D297353CC}">
                <c16:uniqueId val="{00000007-097C-4898-8460-D183126E4F44}"/>
              </c:ext>
            </c:extLst>
          </c:dPt>
          <c:dPt>
            <c:idx val="4"/>
            <c:bubble3D val="0"/>
            <c:spPr>
              <a:solidFill>
                <a:schemeClr val="accent1">
                  <a:shade val="93000"/>
                </a:schemeClr>
              </a:solidFill>
              <a:ln w="19050">
                <a:solidFill>
                  <a:schemeClr val="lt1"/>
                </a:solidFill>
              </a:ln>
              <a:effectLst/>
            </c:spPr>
            <c:extLst>
              <c:ext xmlns:c16="http://schemas.microsoft.com/office/drawing/2014/chart" uri="{C3380CC4-5D6E-409C-BE32-E72D297353CC}">
                <c16:uniqueId val="{00000009-097C-4898-8460-D183126E4F44}"/>
              </c:ext>
            </c:extLst>
          </c:dPt>
          <c:dPt>
            <c:idx val="5"/>
            <c:bubble3D val="0"/>
            <c:spPr>
              <a:solidFill>
                <a:schemeClr val="accent1">
                  <a:tint val="94000"/>
                </a:schemeClr>
              </a:solidFill>
              <a:ln w="19050">
                <a:solidFill>
                  <a:schemeClr val="lt1"/>
                </a:solidFill>
              </a:ln>
              <a:effectLst/>
            </c:spPr>
            <c:extLst>
              <c:ext xmlns:c16="http://schemas.microsoft.com/office/drawing/2014/chart" uri="{C3380CC4-5D6E-409C-BE32-E72D297353CC}">
                <c16:uniqueId val="{0000000B-097C-4898-8460-D183126E4F44}"/>
              </c:ext>
            </c:extLst>
          </c:dPt>
          <c:dPt>
            <c:idx val="6"/>
            <c:bubble3D val="0"/>
            <c:spPr>
              <a:solidFill>
                <a:schemeClr val="accent1">
                  <a:tint val="81000"/>
                </a:schemeClr>
              </a:solidFill>
              <a:ln w="19050">
                <a:solidFill>
                  <a:schemeClr val="lt1"/>
                </a:solidFill>
              </a:ln>
              <a:effectLst/>
            </c:spPr>
            <c:extLst>
              <c:ext xmlns:c16="http://schemas.microsoft.com/office/drawing/2014/chart" uri="{C3380CC4-5D6E-409C-BE32-E72D297353CC}">
                <c16:uniqueId val="{0000000D-097C-4898-8460-D183126E4F44}"/>
              </c:ext>
            </c:extLst>
          </c:dPt>
          <c:dPt>
            <c:idx val="7"/>
            <c:bubble3D val="0"/>
            <c:spPr>
              <a:solidFill>
                <a:schemeClr val="accent1">
                  <a:tint val="69000"/>
                </a:schemeClr>
              </a:solidFill>
              <a:ln w="19050">
                <a:solidFill>
                  <a:schemeClr val="lt1"/>
                </a:solidFill>
              </a:ln>
              <a:effectLst/>
            </c:spPr>
            <c:extLst>
              <c:ext xmlns:c16="http://schemas.microsoft.com/office/drawing/2014/chart" uri="{C3380CC4-5D6E-409C-BE32-E72D297353CC}">
                <c16:uniqueId val="{0000000F-097C-4898-8460-D183126E4F44}"/>
              </c:ext>
            </c:extLst>
          </c:dPt>
          <c:dPt>
            <c:idx val="8"/>
            <c:bubble3D val="0"/>
            <c:spPr>
              <a:solidFill>
                <a:schemeClr val="accent1">
                  <a:tint val="56000"/>
                </a:schemeClr>
              </a:solidFill>
              <a:ln w="19050">
                <a:solidFill>
                  <a:schemeClr val="lt1"/>
                </a:solidFill>
              </a:ln>
              <a:effectLst/>
            </c:spPr>
            <c:extLst>
              <c:ext xmlns:c16="http://schemas.microsoft.com/office/drawing/2014/chart" uri="{C3380CC4-5D6E-409C-BE32-E72D297353CC}">
                <c16:uniqueId val="{00000011-097C-4898-8460-D183126E4F44}"/>
              </c:ext>
            </c:extLst>
          </c:dPt>
          <c:dPt>
            <c:idx val="9"/>
            <c:bubble3D val="0"/>
            <c:spPr>
              <a:solidFill>
                <a:schemeClr val="accent1">
                  <a:tint val="43000"/>
                </a:schemeClr>
              </a:solidFill>
              <a:ln w="19050">
                <a:solidFill>
                  <a:schemeClr val="lt1"/>
                </a:solidFill>
              </a:ln>
              <a:effectLst/>
            </c:spPr>
            <c:extLst>
              <c:ext xmlns:c16="http://schemas.microsoft.com/office/drawing/2014/chart" uri="{C3380CC4-5D6E-409C-BE32-E72D297353CC}">
                <c16:uniqueId val="{00000013-097C-4898-8460-D183126E4F44}"/>
              </c:ext>
            </c:extLst>
          </c:dPt>
          <c:dLbls>
            <c:spPr>
              <a:noFill/>
              <a:ln>
                <a:noFill/>
              </a:ln>
              <a:effectLst/>
            </c:spPr>
            <c:txPr>
              <a:bodyPr rot="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'OpEx &amp; Rev'!$J$29:$J$38</c:f>
              <c:strCache>
                <c:ptCount val="10"/>
                <c:pt idx="0">
                  <c:v>Air</c:v>
                </c:pt>
                <c:pt idx="1">
                  <c:v>Methionine</c:v>
                </c:pt>
                <c:pt idx="2">
                  <c:v>Glucose</c:v>
                </c:pt>
                <c:pt idx="3">
                  <c:v>Potassium phosphate</c:v>
                </c:pt>
                <c:pt idx="4">
                  <c:v>Magnesium sulfate</c:v>
                </c:pt>
                <c:pt idx="5">
                  <c:v>Malt Extract</c:v>
                </c:pt>
                <c:pt idx="6">
                  <c:v>Peptone</c:v>
                </c:pt>
                <c:pt idx="7">
                  <c:v>Sunflower Oil</c:v>
                </c:pt>
                <c:pt idx="8">
                  <c:v>Water</c:v>
                </c:pt>
                <c:pt idx="9">
                  <c:v>Yeast extract</c:v>
                </c:pt>
              </c:strCache>
            </c:strRef>
          </c:cat>
          <c:val>
            <c:numRef>
              <c:f>'OpEx &amp; Rev'!$P$29:$P$38</c:f>
              <c:numCache>
                <c:formatCode>"$"#,##0_);[Red]\("$"#,##0\)</c:formatCode>
                <c:ptCount val="10"/>
                <c:pt idx="0">
                  <c:v>0</c:v>
                </c:pt>
                <c:pt idx="1">
                  <c:v>1000537.9533308536</c:v>
                </c:pt>
                <c:pt idx="2">
                  <c:v>357334.98333244771</c:v>
                </c:pt>
                <c:pt idx="3">
                  <c:v>21440.098999946862</c:v>
                </c:pt>
                <c:pt idx="4">
                  <c:v>21440.098999946862</c:v>
                </c:pt>
                <c:pt idx="5">
                  <c:v>1429339.9333297908</c:v>
                </c:pt>
                <c:pt idx="6">
                  <c:v>3216014.8499920294</c:v>
                </c:pt>
                <c:pt idx="7">
                  <c:v>589602.72249853879</c:v>
                </c:pt>
                <c:pt idx="8">
                  <c:v>71468.555968672881</c:v>
                </c:pt>
                <c:pt idx="9">
                  <c:v>1429339.9333297908</c:v>
                </c:pt>
              </c:numCache>
            </c:numRef>
          </c:val>
          <c:extLst>
            <c:ext xmlns:c16="http://schemas.microsoft.com/office/drawing/2014/chart" uri="{C3380CC4-5D6E-409C-BE32-E72D297353CC}">
              <c16:uniqueId val="{00000000-A15C-42D9-9368-5142BAB5B9FF}"/>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576697302194445"/>
          <c:y val="6.5270491757322718E-2"/>
          <c:w val="0.84032830086586208"/>
          <c:h val="0.86945901648535451"/>
        </c:manualLayout>
      </c:layout>
      <c:lineChart>
        <c:grouping val="standard"/>
        <c:varyColors val="0"/>
        <c:ser>
          <c:idx val="0"/>
          <c:order val="0"/>
          <c:tx>
            <c:v>Non-discounted</c:v>
          </c:tx>
          <c:spPr>
            <a:ln w="15875" cap="rnd">
              <a:solidFill>
                <a:schemeClr val="accent1"/>
              </a:solidFill>
              <a:round/>
            </a:ln>
            <a:effectLst/>
          </c:spPr>
          <c:marker>
            <c:symbol val="none"/>
          </c:marker>
          <c:val>
            <c:numRef>
              <c:f>'Cash flow'!$E$39:$S$39</c:f>
              <c:numCache>
                <c:formatCode>#,##0.00</c:formatCode>
                <c:ptCount val="15"/>
                <c:pt idx="0">
                  <c:v>-38.649983143274298</c:v>
                </c:pt>
                <c:pt idx="1">
                  <c:v>-90.183294000973362</c:v>
                </c:pt>
                <c:pt idx="2">
                  <c:v>-114.35909040069865</c:v>
                </c:pt>
                <c:pt idx="3">
                  <c:v>-86.11688126940652</c:v>
                </c:pt>
                <c:pt idx="4">
                  <c:v>-57.874672138114391</c:v>
                </c:pt>
                <c:pt idx="5">
                  <c:v>-29.632463006822263</c:v>
                </c:pt>
                <c:pt idx="6">
                  <c:v>-1.390253875530135</c:v>
                </c:pt>
                <c:pt idx="7">
                  <c:v>26.851955255761993</c:v>
                </c:pt>
                <c:pt idx="8">
                  <c:v>55.094164387054121</c:v>
                </c:pt>
                <c:pt idx="9">
                  <c:v>83.33637351834625</c:v>
                </c:pt>
                <c:pt idx="10">
                  <c:v>111.57858264963838</c:v>
                </c:pt>
                <c:pt idx="11">
                  <c:v>139.82079178093051</c:v>
                </c:pt>
                <c:pt idx="12">
                  <c:v>164.32683587503945</c:v>
                </c:pt>
                <c:pt idx="13">
                  <c:v>188.83287996914839</c:v>
                </c:pt>
                <c:pt idx="14">
                  <c:v>221.29558826115837</c:v>
                </c:pt>
              </c:numCache>
            </c:numRef>
          </c:val>
          <c:smooth val="0"/>
          <c:extLst>
            <c:ext xmlns:c16="http://schemas.microsoft.com/office/drawing/2014/chart" uri="{C3380CC4-5D6E-409C-BE32-E72D297353CC}">
              <c16:uniqueId val="{00000000-3A8E-463A-A3FF-87384D7B103D}"/>
            </c:ext>
          </c:extLst>
        </c:ser>
        <c:ser>
          <c:idx val="1"/>
          <c:order val="1"/>
          <c:tx>
            <c:v>Discounted</c:v>
          </c:tx>
          <c:spPr>
            <a:ln w="15875" cap="rnd">
              <a:solidFill>
                <a:schemeClr val="accent2"/>
              </a:solidFill>
              <a:round/>
            </a:ln>
            <a:effectLst/>
          </c:spPr>
          <c:marker>
            <c:symbol val="none"/>
          </c:marker>
          <c:val>
            <c:numRef>
              <c:f>'Cash flow'!$E$41:$S$41</c:f>
              <c:numCache>
                <c:formatCode>#,##0.00</c:formatCode>
                <c:ptCount val="15"/>
                <c:pt idx="0">
                  <c:v>-38.649983143274298</c:v>
                </c:pt>
                <c:pt idx="1">
                  <c:v>-85.498447559364351</c:v>
                </c:pt>
                <c:pt idx="2">
                  <c:v>-105.47844458393071</c:v>
                </c:pt>
                <c:pt idx="3">
                  <c:v>-84.259654853433247</c:v>
                </c:pt>
                <c:pt idx="4">
                  <c:v>-64.969846007526456</c:v>
                </c:pt>
                <c:pt idx="5">
                  <c:v>-47.433656147611202</c:v>
                </c:pt>
                <c:pt idx="6">
                  <c:v>-31.491665365870062</c:v>
                </c:pt>
                <c:pt idx="7">
                  <c:v>-16.998946473378119</c:v>
                </c:pt>
                <c:pt idx="8">
                  <c:v>-3.8237474802036235</c:v>
                </c:pt>
                <c:pt idx="9">
                  <c:v>8.1537061499550063</c:v>
                </c:pt>
                <c:pt idx="10">
                  <c:v>19.042300359190122</c:v>
                </c:pt>
                <c:pt idx="11">
                  <c:v>28.941022367585681</c:v>
                </c:pt>
                <c:pt idx="12">
                  <c:v>36.749403236137667</c:v>
                </c:pt>
                <c:pt idx="13">
                  <c:v>43.847931298457652</c:v>
                </c:pt>
                <c:pt idx="14">
                  <c:v>52.396376991165013</c:v>
                </c:pt>
              </c:numCache>
            </c:numRef>
          </c:val>
          <c:smooth val="0"/>
          <c:extLst>
            <c:ext xmlns:c16="http://schemas.microsoft.com/office/drawing/2014/chart" uri="{C3380CC4-5D6E-409C-BE32-E72D297353CC}">
              <c16:uniqueId val="{00000001-3A8E-463A-A3FF-87384D7B103D}"/>
            </c:ext>
          </c:extLst>
        </c:ser>
        <c:dLbls>
          <c:showLegendKey val="0"/>
          <c:showVal val="0"/>
          <c:showCatName val="0"/>
          <c:showSerName val="0"/>
          <c:showPercent val="0"/>
          <c:showBubbleSize val="0"/>
        </c:dLbls>
        <c:smooth val="0"/>
        <c:axId val="644488344"/>
        <c:axId val="644484408"/>
      </c:lineChart>
      <c:catAx>
        <c:axId val="644488344"/>
        <c:scaling>
          <c:orientation val="minMax"/>
        </c:scaling>
        <c:delete val="0"/>
        <c:axPos val="b"/>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44484408"/>
        <c:crosses val="autoZero"/>
        <c:auto val="1"/>
        <c:lblAlgn val="ctr"/>
        <c:lblOffset val="100"/>
        <c:tickMarkSkip val="1"/>
        <c:noMultiLvlLbl val="0"/>
      </c:catAx>
      <c:valAx>
        <c:axId val="644484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Cumulative cash flow,</a:t>
                </a:r>
                <a:r>
                  <a:rPr lang="en-US" baseline="0"/>
                  <a:t> MM USD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44488344"/>
        <c:crosses val="autoZero"/>
        <c:crossBetween val="midCat"/>
      </c:valAx>
      <c:spPr>
        <a:noFill/>
        <a:ln>
          <a:noFill/>
        </a:ln>
        <a:effectLst/>
      </c:spPr>
    </c:plotArea>
    <c:legend>
      <c:legendPos val="r"/>
      <c:layout>
        <c:manualLayout>
          <c:xMode val="edge"/>
          <c:yMode val="edge"/>
          <c:x val="0.15517485343509202"/>
          <c:y val="0.10911805876119693"/>
          <c:w val="0.21226696490932162"/>
          <c:h val="0.19962443623519682"/>
        </c:manualLayout>
      </c:layout>
      <c:overlay val="0"/>
      <c:spPr>
        <a:solidFill>
          <a:schemeClr val="bg1"/>
        </a:solidFill>
        <a:ln>
          <a:solidFill>
            <a:schemeClr val="bg1">
              <a:lumMod val="75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6.emf"/><Relationship Id="rId1" Type="http://schemas.openxmlformats.org/officeDocument/2006/relationships/image" Target="../media/image5.emf"/><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image" Target="../media/image5.emf"/></Relationships>
</file>

<file path=xl/drawings/_rels/drawing5.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5.emf"/></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editAs="oneCell">
    <xdr:from>
      <xdr:col>3</xdr:col>
      <xdr:colOff>425823</xdr:colOff>
      <xdr:row>24</xdr:row>
      <xdr:rowOff>457408</xdr:rowOff>
    </xdr:from>
    <xdr:to>
      <xdr:col>3</xdr:col>
      <xdr:colOff>5813462</xdr:colOff>
      <xdr:row>24</xdr:row>
      <xdr:rowOff>3641911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2140323" y="6788732"/>
          <a:ext cx="5387639" cy="3184503"/>
        </a:xfrm>
        <a:prstGeom prst="rect">
          <a:avLst/>
        </a:prstGeom>
        <a:solidFill>
          <a:schemeClr val="tx1">
            <a:lumMod val="65000"/>
            <a:lumOff val="35000"/>
          </a:schemeClr>
        </a:solidFill>
        <a:ln w="146050">
          <a:solidFill>
            <a:schemeClr val="tx1">
              <a:lumMod val="65000"/>
              <a:lumOff val="35000"/>
            </a:schemeClr>
          </a:solidFill>
        </a:ln>
      </xdr:spPr>
    </xdr:pic>
    <xdr:clientData/>
  </xdr:twoCellAnchor>
  <xdr:twoCellAnchor editAs="oneCell">
    <xdr:from>
      <xdr:col>4</xdr:col>
      <xdr:colOff>199465</xdr:colOff>
      <xdr:row>13</xdr:row>
      <xdr:rowOff>418539</xdr:rowOff>
    </xdr:from>
    <xdr:to>
      <xdr:col>5</xdr:col>
      <xdr:colOff>534745</xdr:colOff>
      <xdr:row>19</xdr:row>
      <xdr:rowOff>15128</xdr:rowOff>
    </xdr:to>
    <xdr:grpSp>
      <xdr:nvGrpSpPr>
        <xdr:cNvPr id="4" name="Group 3">
          <a:extLst>
            <a:ext uri="{FF2B5EF4-FFF2-40B4-BE49-F238E27FC236}">
              <a16:creationId xmlns:a16="http://schemas.microsoft.com/office/drawing/2014/main" id="{00000000-0008-0000-0000-000004000000}"/>
            </a:ext>
          </a:extLst>
        </xdr:cNvPr>
        <xdr:cNvGrpSpPr/>
      </xdr:nvGrpSpPr>
      <xdr:grpSpPr>
        <a:xfrm>
          <a:off x="8977406" y="4206127"/>
          <a:ext cx="1134633" cy="1083236"/>
          <a:chOff x="11822206" y="2476500"/>
          <a:chExt cx="1097280" cy="1120589"/>
        </a:xfrm>
      </xdr:grpSpPr>
      <xdr:sp macro="" textlink="">
        <xdr:nvSpPr>
          <xdr:cNvPr id="5" name="Arrow: Down 4">
            <a:extLst>
              <a:ext uri="{FF2B5EF4-FFF2-40B4-BE49-F238E27FC236}">
                <a16:creationId xmlns:a16="http://schemas.microsoft.com/office/drawing/2014/main" id="{00000000-0008-0000-0000-000005000000}"/>
              </a:ext>
            </a:extLst>
          </xdr:cNvPr>
          <xdr:cNvSpPr/>
        </xdr:nvSpPr>
        <xdr:spPr>
          <a:xfrm>
            <a:off x="12250832" y="2911288"/>
            <a:ext cx="238124" cy="685801"/>
          </a:xfrm>
          <a:prstGeom prst="downArrow">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11822206" y="2476500"/>
            <a:ext cx="109728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a:solidFill>
                  <a:schemeClr val="tx1">
                    <a:lumMod val="50000"/>
                    <a:lumOff val="50000"/>
                  </a:schemeClr>
                </a:solidFill>
              </a:rPr>
              <a:t>More content below</a:t>
            </a:r>
            <a:endParaRPr lang="en-US" sz="1000" baseline="0">
              <a:solidFill>
                <a:schemeClr val="tx1">
                  <a:lumMod val="50000"/>
                  <a:lumOff val="50000"/>
                </a:schemeClr>
              </a:solidFill>
            </a:endParaRPr>
          </a:p>
        </xdr:txBody>
      </xdr:sp>
    </xdr:grpSp>
    <xdr:clientData/>
  </xdr:twoCellAnchor>
  <xdr:twoCellAnchor editAs="oneCell">
    <xdr:from>
      <xdr:col>3</xdr:col>
      <xdr:colOff>28575</xdr:colOff>
      <xdr:row>15</xdr:row>
      <xdr:rowOff>9525</xdr:rowOff>
    </xdr:from>
    <xdr:to>
      <xdr:col>3</xdr:col>
      <xdr:colOff>800100</xdr:colOff>
      <xdr:row>16</xdr:row>
      <xdr:rowOff>19050</xdr:rowOff>
    </xdr:to>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43075" y="4638675"/>
          <a:ext cx="7715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19050</xdr:colOff>
      <xdr:row>18</xdr:row>
      <xdr:rowOff>0</xdr:rowOff>
    </xdr:from>
    <xdr:to>
      <xdr:col>3</xdr:col>
      <xdr:colOff>790575</xdr:colOff>
      <xdr:row>19</xdr:row>
      <xdr:rowOff>9525</xdr:rowOff>
    </xdr:to>
    <xdr:pic>
      <xdr:nvPicPr>
        <xdr:cNvPr id="10" name="Picture 9">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33550" y="5200650"/>
          <a:ext cx="7715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5857875</xdr:colOff>
      <xdr:row>0</xdr:row>
      <xdr:rowOff>63306</xdr:rowOff>
    </xdr:from>
    <xdr:to>
      <xdr:col>5</xdr:col>
      <xdr:colOff>95250</xdr:colOff>
      <xdr:row>1</xdr:row>
      <xdr:rowOff>40047</xdr:rowOff>
    </xdr:to>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572375" y="63306"/>
          <a:ext cx="1666875" cy="310116"/>
        </a:xfrm>
        <a:prstGeom prst="rect">
          <a:avLst/>
        </a:prstGeom>
      </xdr:spPr>
    </xdr:pic>
    <xdr:clientData/>
  </xdr:twoCellAnchor>
  <xdr:twoCellAnchor editAs="oneCell">
    <xdr:from>
      <xdr:col>3</xdr:col>
      <xdr:colOff>3829050</xdr:colOff>
      <xdr:row>39</xdr:row>
      <xdr:rowOff>110930</xdr:rowOff>
    </xdr:from>
    <xdr:to>
      <xdr:col>5</xdr:col>
      <xdr:colOff>9525</xdr:colOff>
      <xdr:row>43</xdr:row>
      <xdr:rowOff>20553</xdr:rowOff>
    </xdr:to>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43550" y="14760380"/>
          <a:ext cx="3609975" cy="6716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481853</xdr:colOff>
      <xdr:row>39</xdr:row>
      <xdr:rowOff>33618</xdr:rowOff>
    </xdr:from>
    <xdr:to>
      <xdr:col>6</xdr:col>
      <xdr:colOff>384207</xdr:colOff>
      <xdr:row>61</xdr:row>
      <xdr:rowOff>53227</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2353" y="7922559"/>
          <a:ext cx="3712354" cy="42106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268941</xdr:colOff>
      <xdr:row>38</xdr:row>
      <xdr:rowOff>67235</xdr:rowOff>
    </xdr:from>
    <xdr:to>
      <xdr:col>18</xdr:col>
      <xdr:colOff>237248</xdr:colOff>
      <xdr:row>60</xdr:row>
      <xdr:rowOff>121583</xdr:rowOff>
    </xdr:to>
    <xdr:pic>
      <xdr:nvPicPr>
        <xdr:cNvPr id="9" name="Picture 8">
          <a:extLst>
            <a:ext uri="{FF2B5EF4-FFF2-40B4-BE49-F238E27FC236}">
              <a16:creationId xmlns:a16="http://schemas.microsoft.com/office/drawing/2014/main" id="{00000000-0008-0000-0100-000009000000}"/>
            </a:ext>
          </a:extLst>
        </xdr:cNvPr>
        <xdr:cNvPicPr>
          <a:picLocks noChangeAspect="1" noChangeArrowheads="1"/>
        </xdr:cNvPicPr>
      </xdr:nvPicPr>
      <xdr:blipFill>
        <a:blip xmlns:r="http://schemas.openxmlformats.org/officeDocument/2006/relationships" r:embed="rId2">
          <a:duotone>
            <a:schemeClr val="accent3">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5031441" y="7765676"/>
          <a:ext cx="8675278" cy="42453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896470</xdr:colOff>
      <xdr:row>2</xdr:row>
      <xdr:rowOff>100852</xdr:rowOff>
    </xdr:from>
    <xdr:to>
      <xdr:col>18</xdr:col>
      <xdr:colOff>700366</xdr:colOff>
      <xdr:row>11</xdr:row>
      <xdr:rowOff>150158</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291352</xdr:colOff>
      <xdr:row>14</xdr:row>
      <xdr:rowOff>89648</xdr:rowOff>
    </xdr:from>
    <xdr:to>
      <xdr:col>18</xdr:col>
      <xdr:colOff>493058</xdr:colOff>
      <xdr:row>25</xdr:row>
      <xdr:rowOff>188259</xdr:rowOff>
    </xdr:to>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114809</xdr:colOff>
      <xdr:row>2</xdr:row>
      <xdr:rowOff>172011</xdr:rowOff>
    </xdr:from>
    <xdr:to>
      <xdr:col>7</xdr:col>
      <xdr:colOff>104774</xdr:colOff>
      <xdr:row>21</xdr:row>
      <xdr:rowOff>29135</xdr:rowOff>
    </xdr:to>
    <xdr:graphicFrame macro="">
      <xdr:nvGraphicFramePr>
        <xdr:cNvPr id="2" name="Tornado">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xdr:from>
          <xdr:col>7</xdr:col>
          <xdr:colOff>317500</xdr:colOff>
          <xdr:row>16</xdr:row>
          <xdr:rowOff>133350</xdr:rowOff>
        </xdr:from>
        <xdr:to>
          <xdr:col>7</xdr:col>
          <xdr:colOff>1441450</xdr:colOff>
          <xdr:row>18</xdr:row>
          <xdr:rowOff>107950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200-000001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Tornado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16</xdr:col>
      <xdr:colOff>397402</xdr:colOff>
      <xdr:row>4</xdr:row>
      <xdr:rowOff>270621</xdr:rowOff>
    </xdr:from>
    <xdr:to>
      <xdr:col>21</xdr:col>
      <xdr:colOff>299756</xdr:colOff>
      <xdr:row>25</xdr:row>
      <xdr:rowOff>178171</xdr:rowOff>
    </xdr:to>
    <xdr:pic>
      <xdr:nvPicPr>
        <xdr:cNvPr id="60" name="Picture 59">
          <a:extLst>
            <a:ext uri="{FF2B5EF4-FFF2-40B4-BE49-F238E27FC236}">
              <a16:creationId xmlns:a16="http://schemas.microsoft.com/office/drawing/2014/main" id="{00000000-0008-0000-03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073931" y="1189503"/>
          <a:ext cx="3712354" cy="42106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369794</xdr:colOff>
      <xdr:row>30</xdr:row>
      <xdr:rowOff>112059</xdr:rowOff>
    </xdr:from>
    <xdr:to>
      <xdr:col>2</xdr:col>
      <xdr:colOff>705074</xdr:colOff>
      <xdr:row>36</xdr:row>
      <xdr:rowOff>89648</xdr:rowOff>
    </xdr:to>
    <xdr:grpSp>
      <xdr:nvGrpSpPr>
        <xdr:cNvPr id="4" name="Group 3">
          <a:extLst>
            <a:ext uri="{FF2B5EF4-FFF2-40B4-BE49-F238E27FC236}">
              <a16:creationId xmlns:a16="http://schemas.microsoft.com/office/drawing/2014/main" id="{00000000-0008-0000-0300-000004000000}"/>
            </a:ext>
          </a:extLst>
        </xdr:cNvPr>
        <xdr:cNvGrpSpPr/>
      </xdr:nvGrpSpPr>
      <xdr:grpSpPr>
        <a:xfrm>
          <a:off x="560294" y="6387353"/>
          <a:ext cx="1097280" cy="1120589"/>
          <a:chOff x="11822206" y="2476500"/>
          <a:chExt cx="1097280" cy="1120589"/>
        </a:xfrm>
      </xdr:grpSpPr>
      <xdr:sp macro="" textlink="">
        <xdr:nvSpPr>
          <xdr:cNvPr id="5" name="Arrow: Down 4">
            <a:extLst>
              <a:ext uri="{FF2B5EF4-FFF2-40B4-BE49-F238E27FC236}">
                <a16:creationId xmlns:a16="http://schemas.microsoft.com/office/drawing/2014/main" id="{00000000-0008-0000-0300-000005000000}"/>
              </a:ext>
            </a:extLst>
          </xdr:cNvPr>
          <xdr:cNvSpPr/>
        </xdr:nvSpPr>
        <xdr:spPr>
          <a:xfrm>
            <a:off x="12250832" y="2911288"/>
            <a:ext cx="238124" cy="685801"/>
          </a:xfrm>
          <a:prstGeom prst="downArrow">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11822206" y="2476500"/>
            <a:ext cx="109728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a:solidFill>
                  <a:schemeClr val="tx1">
                    <a:lumMod val="50000"/>
                    <a:lumOff val="50000"/>
                  </a:schemeClr>
                </a:solidFill>
              </a:rPr>
              <a:t>More content below</a:t>
            </a:r>
            <a:endParaRPr lang="en-US" sz="1000" baseline="0">
              <a:solidFill>
                <a:schemeClr val="tx1">
                  <a:lumMod val="50000"/>
                  <a:lumOff val="50000"/>
                </a:schemeClr>
              </a:solidFill>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282387</xdr:colOff>
      <xdr:row>22</xdr:row>
      <xdr:rowOff>103654</xdr:rowOff>
    </xdr:from>
    <xdr:to>
      <xdr:col>19</xdr:col>
      <xdr:colOff>560293</xdr:colOff>
      <xdr:row>47</xdr:row>
      <xdr:rowOff>58598</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01299" y="4552389"/>
          <a:ext cx="4166347" cy="47174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296</xdr:row>
      <xdr:rowOff>104775</xdr:rowOff>
    </xdr:from>
    <xdr:to>
      <xdr:col>5</xdr:col>
      <xdr:colOff>371475</xdr:colOff>
      <xdr:row>305</xdr:row>
      <xdr:rowOff>76200</xdr:rowOff>
    </xdr:to>
    <xdr:pic>
      <xdr:nvPicPr>
        <xdr:cNvPr id="5" name="Picture 4">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7225" y="43634025"/>
          <a:ext cx="2952750" cy="1685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605118</xdr:colOff>
      <xdr:row>23</xdr:row>
      <xdr:rowOff>113739</xdr:rowOff>
    </xdr:from>
    <xdr:to>
      <xdr:col>13</xdr:col>
      <xdr:colOff>113984</xdr:colOff>
      <xdr:row>45</xdr:row>
      <xdr:rowOff>168087</xdr:rowOff>
    </xdr:to>
    <xdr:pic>
      <xdr:nvPicPr>
        <xdr:cNvPr id="6" name="Picture 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3">
          <a:duotone>
            <a:schemeClr val="accent3">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795618" y="3990974"/>
          <a:ext cx="8675278" cy="42453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728383</xdr:colOff>
      <xdr:row>21</xdr:row>
      <xdr:rowOff>1</xdr:rowOff>
    </xdr:from>
    <xdr:to>
      <xdr:col>22</xdr:col>
      <xdr:colOff>301663</xdr:colOff>
      <xdr:row>26</xdr:row>
      <xdr:rowOff>168090</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15497736" y="4258236"/>
          <a:ext cx="1097280" cy="1120589"/>
          <a:chOff x="11822206" y="2476500"/>
          <a:chExt cx="1097280" cy="1120589"/>
        </a:xfrm>
      </xdr:grpSpPr>
      <xdr:sp macro="" textlink="">
        <xdr:nvSpPr>
          <xdr:cNvPr id="8" name="Arrow: Down 7">
            <a:extLst>
              <a:ext uri="{FF2B5EF4-FFF2-40B4-BE49-F238E27FC236}">
                <a16:creationId xmlns:a16="http://schemas.microsoft.com/office/drawing/2014/main" id="{00000000-0008-0000-0400-000008000000}"/>
              </a:ext>
            </a:extLst>
          </xdr:cNvPr>
          <xdr:cNvSpPr/>
        </xdr:nvSpPr>
        <xdr:spPr>
          <a:xfrm>
            <a:off x="12250832" y="2911288"/>
            <a:ext cx="238124" cy="685801"/>
          </a:xfrm>
          <a:prstGeom prst="downArrow">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11822206" y="2476500"/>
            <a:ext cx="109728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a:solidFill>
                  <a:schemeClr val="tx1">
                    <a:lumMod val="50000"/>
                    <a:lumOff val="50000"/>
                  </a:schemeClr>
                </a:solidFill>
              </a:rPr>
              <a:t>More content below</a:t>
            </a:r>
            <a:endParaRPr lang="en-US" sz="1000" baseline="0">
              <a:solidFill>
                <a:schemeClr val="tx1">
                  <a:lumMod val="50000"/>
                  <a:lumOff val="50000"/>
                </a:schemeClr>
              </a:solidFill>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666750</xdr:colOff>
      <xdr:row>41</xdr:row>
      <xdr:rowOff>29134</xdr:rowOff>
    </xdr:from>
    <xdr:to>
      <xdr:col>15</xdr:col>
      <xdr:colOff>112058</xdr:colOff>
      <xdr:row>61</xdr:row>
      <xdr:rowOff>179293</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6</xdr:col>
      <xdr:colOff>812424</xdr:colOff>
      <xdr:row>29</xdr:row>
      <xdr:rowOff>107575</xdr:rowOff>
    </xdr:from>
    <xdr:to>
      <xdr:col>11</xdr:col>
      <xdr:colOff>1355910</xdr:colOff>
      <xdr:row>48</xdr:row>
      <xdr:rowOff>44822</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229721</xdr:colOff>
      <xdr:row>4</xdr:row>
      <xdr:rowOff>118783</xdr:rowOff>
    </xdr:from>
    <xdr:to>
      <xdr:col>9</xdr:col>
      <xdr:colOff>991721</xdr:colOff>
      <xdr:row>17</xdr:row>
      <xdr:rowOff>138953</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907675</xdr:colOff>
      <xdr:row>4</xdr:row>
      <xdr:rowOff>29136</xdr:rowOff>
    </xdr:from>
    <xdr:to>
      <xdr:col>13</xdr:col>
      <xdr:colOff>616322</xdr:colOff>
      <xdr:row>17</xdr:row>
      <xdr:rowOff>49306</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616324</xdr:colOff>
      <xdr:row>15</xdr:row>
      <xdr:rowOff>134470</xdr:rowOff>
    </xdr:from>
    <xdr:to>
      <xdr:col>13</xdr:col>
      <xdr:colOff>761104</xdr:colOff>
      <xdr:row>21</xdr:row>
      <xdr:rowOff>67236</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11530853" y="3395382"/>
          <a:ext cx="1097280" cy="1120589"/>
          <a:chOff x="11822206" y="2476500"/>
          <a:chExt cx="1097280" cy="1120589"/>
        </a:xfrm>
      </xdr:grpSpPr>
      <xdr:sp macro="" textlink="">
        <xdr:nvSpPr>
          <xdr:cNvPr id="7" name="Arrow: Down 6">
            <a:extLst>
              <a:ext uri="{FF2B5EF4-FFF2-40B4-BE49-F238E27FC236}">
                <a16:creationId xmlns:a16="http://schemas.microsoft.com/office/drawing/2014/main" id="{00000000-0008-0000-0700-000007000000}"/>
              </a:ext>
            </a:extLst>
          </xdr:cNvPr>
          <xdr:cNvSpPr/>
        </xdr:nvSpPr>
        <xdr:spPr>
          <a:xfrm>
            <a:off x="12250832" y="2911288"/>
            <a:ext cx="238124" cy="685801"/>
          </a:xfrm>
          <a:prstGeom prst="downArrow">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11822206" y="2476500"/>
            <a:ext cx="109728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a:solidFill>
                  <a:schemeClr val="tx1">
                    <a:lumMod val="50000"/>
                    <a:lumOff val="50000"/>
                  </a:schemeClr>
                </a:solidFill>
              </a:rPr>
              <a:t>More content below</a:t>
            </a:r>
            <a:endParaRPr lang="en-US" sz="1000" baseline="0">
              <a:solidFill>
                <a:schemeClr val="tx1">
                  <a:lumMod val="50000"/>
                  <a:lumOff val="50000"/>
                </a:schemeClr>
              </a:solidFill>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10</xdr:col>
      <xdr:colOff>11206</xdr:colOff>
      <xdr:row>0</xdr:row>
      <xdr:rowOff>246528</xdr:rowOff>
    </xdr:from>
    <xdr:to>
      <xdr:col>17</xdr:col>
      <xdr:colOff>313765</xdr:colOff>
      <xdr:row>12</xdr:row>
      <xdr:rowOff>33616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burkengineeringllc.com/single-post/2017/08/29/Pro-Tip-Searchable-Excel-Stream-Tables-with-VBA" TargetMode="External"/><Relationship Id="rId2" Type="http://schemas.openxmlformats.org/officeDocument/2006/relationships/hyperlink" Target="http://www.burkengineeringllc.com/" TargetMode="External"/><Relationship Id="rId1" Type="http://schemas.openxmlformats.org/officeDocument/2006/relationships/hyperlink" Target="mailto:cburk@BurkEngineeringLLC.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0" tint="-4.9989318521683403E-2"/>
  </sheetPr>
  <dimension ref="A1:I43"/>
  <sheetViews>
    <sheetView showGridLines="0" tabSelected="1" zoomScale="85" zoomScaleNormal="85" workbookViewId="0">
      <selection activeCell="I77" sqref="I77"/>
    </sheetView>
  </sheetViews>
  <sheetFormatPr defaultColWidth="11.453125" defaultRowHeight="14.5" x14ac:dyDescent="0.35"/>
  <cols>
    <col min="1" max="1" width="2.81640625" customWidth="1"/>
    <col min="2" max="3" width="11.453125" customWidth="1"/>
    <col min="4" max="4" width="100" customWidth="1"/>
  </cols>
  <sheetData>
    <row r="1" spans="1:9" ht="26" x14ac:dyDescent="0.6">
      <c r="A1" s="145" t="s">
        <v>562</v>
      </c>
      <c r="B1" s="146"/>
      <c r="C1" s="146"/>
    </row>
    <row r="4" spans="1:9" ht="18.5" x14ac:dyDescent="0.45">
      <c r="B4" s="311" t="s">
        <v>532</v>
      </c>
      <c r="C4" s="311"/>
      <c r="D4" s="311"/>
      <c r="E4" s="311"/>
    </row>
    <row r="5" spans="1:9" ht="29" x14ac:dyDescent="0.35">
      <c r="B5" s="468" t="s">
        <v>535</v>
      </c>
      <c r="C5" s="468"/>
      <c r="D5" s="469" t="s">
        <v>569</v>
      </c>
    </row>
    <row r="6" spans="1:9" x14ac:dyDescent="0.35">
      <c r="I6" s="110"/>
    </row>
    <row r="7" spans="1:9" x14ac:dyDescent="0.35">
      <c r="I7" s="110"/>
    </row>
    <row r="8" spans="1:9" ht="75.75" customHeight="1" x14ac:dyDescent="0.35">
      <c r="B8" s="468" t="s">
        <v>536</v>
      </c>
      <c r="C8" s="468"/>
      <c r="D8" s="469" t="s">
        <v>570</v>
      </c>
    </row>
    <row r="9" spans="1:9" x14ac:dyDescent="0.35">
      <c r="H9" s="110"/>
      <c r="I9" s="110"/>
    </row>
    <row r="10" spans="1:9" ht="29" x14ac:dyDescent="0.35">
      <c r="B10" s="468"/>
      <c r="C10" s="468"/>
      <c r="D10" s="469" t="s">
        <v>537</v>
      </c>
      <c r="H10" s="110"/>
    </row>
    <row r="11" spans="1:9" x14ac:dyDescent="0.35">
      <c r="H11" s="110"/>
      <c r="I11" s="110"/>
    </row>
    <row r="12" spans="1:9" x14ac:dyDescent="0.35">
      <c r="H12" s="110"/>
      <c r="I12" s="110"/>
    </row>
    <row r="13" spans="1:9" ht="18.5" x14ac:dyDescent="0.45">
      <c r="B13" s="311" t="s">
        <v>539</v>
      </c>
      <c r="C13" s="311"/>
      <c r="D13" s="311"/>
      <c r="E13" s="311"/>
    </row>
    <row r="14" spans="1:9" ht="43.5" x14ac:dyDescent="0.35">
      <c r="B14" s="468" t="s">
        <v>540</v>
      </c>
      <c r="C14" s="468"/>
      <c r="D14" s="469" t="s">
        <v>571</v>
      </c>
      <c r="I14" s="110"/>
    </row>
    <row r="15" spans="1:9" x14ac:dyDescent="0.35">
      <c r="B15" s="468"/>
      <c r="C15" s="468"/>
      <c r="D15" s="469"/>
      <c r="I15" s="110"/>
    </row>
    <row r="16" spans="1:9" x14ac:dyDescent="0.35">
      <c r="I16" s="110"/>
    </row>
    <row r="17" spans="2:9" x14ac:dyDescent="0.35">
      <c r="C17" s="468"/>
      <c r="D17" s="472" t="s">
        <v>538</v>
      </c>
      <c r="I17" s="110"/>
    </row>
    <row r="18" spans="2:9" x14ac:dyDescent="0.35">
      <c r="C18" s="468"/>
      <c r="D18" s="472"/>
      <c r="I18" s="110"/>
    </row>
    <row r="19" spans="2:9" x14ac:dyDescent="0.35">
      <c r="C19" s="468"/>
      <c r="D19" s="472"/>
      <c r="I19" s="110"/>
    </row>
    <row r="20" spans="2:9" ht="15" customHeight="1" x14ac:dyDescent="0.35">
      <c r="C20" s="468"/>
      <c r="D20" s="482" t="s">
        <v>572</v>
      </c>
      <c r="I20" s="110"/>
    </row>
    <row r="21" spans="2:9" x14ac:dyDescent="0.35">
      <c r="B21" s="15"/>
      <c r="C21" s="15"/>
      <c r="D21" s="483"/>
      <c r="I21" s="110"/>
    </row>
    <row r="22" spans="2:9" x14ac:dyDescent="0.35">
      <c r="B22" s="15"/>
      <c r="C22" s="15"/>
      <c r="D22" s="471"/>
      <c r="I22" s="110"/>
    </row>
    <row r="23" spans="2:9" x14ac:dyDescent="0.35">
      <c r="I23" s="110"/>
    </row>
    <row r="24" spans="2:9" ht="29" x14ac:dyDescent="0.35">
      <c r="B24" s="468" t="s">
        <v>567</v>
      </c>
      <c r="C24" s="468"/>
      <c r="D24" s="469" t="s">
        <v>534</v>
      </c>
    </row>
    <row r="25" spans="2:9" ht="322.5" customHeight="1" x14ac:dyDescent="0.35"/>
    <row r="26" spans="2:9" ht="72.5" x14ac:dyDescent="0.35">
      <c r="D26" s="469" t="s">
        <v>573</v>
      </c>
    </row>
    <row r="27" spans="2:9" x14ac:dyDescent="0.35">
      <c r="I27" s="110"/>
    </row>
    <row r="28" spans="2:9" ht="43.5" x14ac:dyDescent="0.35">
      <c r="D28" s="469" t="s">
        <v>574</v>
      </c>
    </row>
    <row r="29" spans="2:9" x14ac:dyDescent="0.35">
      <c r="I29" s="110"/>
    </row>
    <row r="30" spans="2:9" ht="29" x14ac:dyDescent="0.35">
      <c r="D30" s="469" t="s">
        <v>541</v>
      </c>
    </row>
    <row r="32" spans="2:9" x14ac:dyDescent="0.35">
      <c r="E32" s="468"/>
    </row>
    <row r="33" spans="2:5" ht="58" x14ac:dyDescent="0.35">
      <c r="B33" s="468" t="s">
        <v>533</v>
      </c>
      <c r="C33" s="468"/>
      <c r="D33" s="469" t="s">
        <v>558</v>
      </c>
    </row>
    <row r="34" spans="2:5" x14ac:dyDescent="0.35">
      <c r="B34" s="468"/>
      <c r="C34" s="468"/>
    </row>
    <row r="35" spans="2:5" ht="58" x14ac:dyDescent="0.35">
      <c r="D35" s="469" t="s">
        <v>575</v>
      </c>
    </row>
    <row r="36" spans="2:5" x14ac:dyDescent="0.35">
      <c r="D36" s="481" t="s">
        <v>568</v>
      </c>
    </row>
    <row r="39" spans="2:5" ht="18.5" x14ac:dyDescent="0.45">
      <c r="B39" s="311" t="s">
        <v>542</v>
      </c>
      <c r="C39" s="311"/>
      <c r="D39" s="311"/>
      <c r="E39" s="311"/>
    </row>
    <row r="40" spans="2:5" x14ac:dyDescent="0.35">
      <c r="B40" t="s">
        <v>543</v>
      </c>
      <c r="D40" t="s">
        <v>544</v>
      </c>
    </row>
    <row r="41" spans="2:5" x14ac:dyDescent="0.35">
      <c r="D41" t="s">
        <v>545</v>
      </c>
    </row>
    <row r="42" spans="2:5" x14ac:dyDescent="0.35">
      <c r="C42" t="s">
        <v>548</v>
      </c>
      <c r="D42" s="473" t="s">
        <v>546</v>
      </c>
    </row>
    <row r="43" spans="2:5" x14ac:dyDescent="0.35">
      <c r="C43" t="s">
        <v>549</v>
      </c>
      <c r="D43" s="473" t="s">
        <v>547</v>
      </c>
    </row>
  </sheetData>
  <mergeCells count="1">
    <mergeCell ref="D20:D21"/>
  </mergeCells>
  <hyperlinks>
    <hyperlink ref="D42" r:id="rId1"/>
    <hyperlink ref="D43" r:id="rId2"/>
    <hyperlink ref="D36" r:id="rId3"/>
  </hyperlinks>
  <pageMargins left="0.7" right="0.7" top="0.75" bottom="0.75" header="0.3" footer="0.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499984740745262"/>
  </sheetPr>
  <dimension ref="A1:T29"/>
  <sheetViews>
    <sheetView showGridLines="0" zoomScale="85" zoomScaleNormal="85" workbookViewId="0">
      <selection activeCell="V56" sqref="V56"/>
    </sheetView>
  </sheetViews>
  <sheetFormatPr defaultColWidth="11.453125" defaultRowHeight="14.5" x14ac:dyDescent="0.35"/>
  <cols>
    <col min="1" max="1" width="2.81640625" customWidth="1"/>
    <col min="11" max="11" width="12.81640625" bestFit="1" customWidth="1"/>
    <col min="12" max="12" width="14.81640625" customWidth="1"/>
  </cols>
  <sheetData>
    <row r="1" spans="1:20" s="146" customFormat="1" ht="26" x14ac:dyDescent="0.6">
      <c r="A1" s="145" t="s">
        <v>550</v>
      </c>
      <c r="K1" s="147"/>
      <c r="P1" s="148"/>
      <c r="S1" s="149"/>
      <c r="T1" s="150"/>
    </row>
    <row r="2" spans="1:20" ht="15.5" x14ac:dyDescent="0.35">
      <c r="B2" s="151" t="s">
        <v>551</v>
      </c>
    </row>
    <row r="5" spans="1:20" ht="23.5" x14ac:dyDescent="0.55000000000000004">
      <c r="B5" s="373" t="s">
        <v>455</v>
      </c>
      <c r="C5" s="140"/>
      <c r="D5" s="120"/>
      <c r="E5" s="120"/>
      <c r="F5" s="185"/>
      <c r="I5" s="394" t="s">
        <v>411</v>
      </c>
      <c r="J5" s="375"/>
      <c r="K5" s="376"/>
      <c r="L5" s="376"/>
    </row>
    <row r="6" spans="1:20" ht="18.5" x14ac:dyDescent="0.45">
      <c r="B6" s="3" t="s">
        <v>70</v>
      </c>
      <c r="E6" s="64">
        <v>1000</v>
      </c>
      <c r="F6" t="s">
        <v>0</v>
      </c>
      <c r="I6" s="295" t="s">
        <v>425</v>
      </c>
      <c r="J6" s="178"/>
      <c r="K6" s="477">
        <f ca="1">NPV</f>
        <v>52.396376991164971</v>
      </c>
      <c r="L6" s="178" t="s">
        <v>416</v>
      </c>
    </row>
    <row r="7" spans="1:20" ht="18.5" x14ac:dyDescent="0.45">
      <c r="B7" s="3" t="s">
        <v>66</v>
      </c>
      <c r="E7" s="4">
        <v>12</v>
      </c>
      <c r="F7" s="310" t="s">
        <v>509</v>
      </c>
      <c r="I7" s="295" t="s">
        <v>424</v>
      </c>
      <c r="J7" s="178"/>
      <c r="K7" s="458">
        <f ca="1">IRR</f>
        <v>0.1738735901276085</v>
      </c>
      <c r="L7" s="178"/>
    </row>
    <row r="8" spans="1:20" ht="18.5" x14ac:dyDescent="0.45">
      <c r="B8" s="3" t="s">
        <v>43</v>
      </c>
      <c r="E8" s="27">
        <v>0.1</v>
      </c>
      <c r="F8" t="s">
        <v>39</v>
      </c>
      <c r="I8" s="295" t="s">
        <v>556</v>
      </c>
      <c r="J8" s="378"/>
      <c r="K8" s="467">
        <f ca="1">DiscountedPayback</f>
        <v>9.3192454421677429</v>
      </c>
      <c r="L8" s="178" t="s">
        <v>514</v>
      </c>
    </row>
    <row r="9" spans="1:20" ht="18.5" x14ac:dyDescent="0.45">
      <c r="B9" s="3" t="s">
        <v>449</v>
      </c>
      <c r="E9" s="114">
        <v>500</v>
      </c>
      <c r="F9" t="s">
        <v>44</v>
      </c>
      <c r="I9" s="295" t="s">
        <v>410</v>
      </c>
      <c r="J9" s="378"/>
      <c r="K9" s="458">
        <f ca="1">K22/K18</f>
        <v>0.57525925103542119</v>
      </c>
    </row>
    <row r="10" spans="1:20" ht="18.5" x14ac:dyDescent="0.45">
      <c r="B10" s="3" t="s">
        <v>99</v>
      </c>
      <c r="E10" s="113">
        <v>500</v>
      </c>
      <c r="F10" t="s">
        <v>100</v>
      </c>
      <c r="I10" s="295" t="s">
        <v>557</v>
      </c>
      <c r="J10" s="378"/>
      <c r="K10" s="477">
        <f ca="1">10^6*K17/E6</f>
        <v>143231.60519936107</v>
      </c>
      <c r="L10" s="178" t="s">
        <v>555</v>
      </c>
    </row>
    <row r="11" spans="1:20" x14ac:dyDescent="0.35">
      <c r="B11" s="3" t="s">
        <v>115</v>
      </c>
      <c r="E11" s="327">
        <v>0.99</v>
      </c>
    </row>
    <row r="12" spans="1:20" x14ac:dyDescent="0.35">
      <c r="B12" s="3" t="s">
        <v>454</v>
      </c>
      <c r="E12" s="391">
        <v>0.2</v>
      </c>
      <c r="F12" t="s">
        <v>52</v>
      </c>
    </row>
    <row r="13" spans="1:20" x14ac:dyDescent="0.35">
      <c r="B13" s="3" t="s">
        <v>437</v>
      </c>
      <c r="E13" s="5">
        <v>0.9</v>
      </c>
      <c r="F13" t="s">
        <v>73</v>
      </c>
    </row>
    <row r="16" spans="1:20" ht="23.5" x14ac:dyDescent="0.55000000000000004">
      <c r="B16" s="373" t="s">
        <v>470</v>
      </c>
      <c r="C16" s="140"/>
      <c r="D16" s="120"/>
      <c r="E16" s="120"/>
      <c r="F16" s="185"/>
      <c r="I16" s="392" t="s">
        <v>461</v>
      </c>
      <c r="J16" s="383"/>
      <c r="K16" s="384"/>
      <c r="L16" s="382"/>
    </row>
    <row r="17" spans="2:17" x14ac:dyDescent="0.35">
      <c r="B17" s="3" t="s">
        <v>501</v>
      </c>
      <c r="E17" s="243">
        <v>60</v>
      </c>
      <c r="F17" s="310" t="s">
        <v>450</v>
      </c>
      <c r="I17" s="377" t="s">
        <v>462</v>
      </c>
      <c r="J17" s="378"/>
      <c r="K17" s="466">
        <f ca="1">TotalCapitalInvestment/10^6</f>
        <v>143.2316051993611</v>
      </c>
      <c r="L17" s="378" t="s">
        <v>416</v>
      </c>
      <c r="Q17" s="110"/>
    </row>
    <row r="18" spans="2:17" x14ac:dyDescent="0.35">
      <c r="B18" s="3" t="s">
        <v>16</v>
      </c>
      <c r="E18" s="243">
        <v>35</v>
      </c>
      <c r="F18" s="310" t="s">
        <v>450</v>
      </c>
      <c r="I18" s="377" t="s">
        <v>394</v>
      </c>
      <c r="J18" s="378"/>
      <c r="K18" s="379">
        <f ca="1">Revenue/10^6</f>
        <v>60</v>
      </c>
      <c r="L18" s="380" t="s">
        <v>460</v>
      </c>
      <c r="Q18" s="110"/>
    </row>
    <row r="19" spans="2:17" x14ac:dyDescent="0.35">
      <c r="B19" s="3" t="s">
        <v>9</v>
      </c>
      <c r="E19" s="243">
        <v>1</v>
      </c>
      <c r="F19" s="310" t="s">
        <v>450</v>
      </c>
      <c r="I19" s="378"/>
      <c r="J19" s="378"/>
      <c r="K19" s="381">
        <f ca="1">K18/PlantCapacity_kg_per_year*10^6</f>
        <v>60</v>
      </c>
      <c r="L19" s="380" t="s">
        <v>429</v>
      </c>
      <c r="Q19" s="20"/>
    </row>
    <row r="20" spans="2:17" x14ac:dyDescent="0.35">
      <c r="B20" s="3" t="s">
        <v>34</v>
      </c>
      <c r="E20" s="243">
        <v>4</v>
      </c>
      <c r="F20" s="310" t="s">
        <v>450</v>
      </c>
      <c r="I20" s="377" t="s">
        <v>392</v>
      </c>
      <c r="J20" s="378"/>
      <c r="K20" s="379">
        <f ca="1">OpEx/10^6</f>
        <v>25.484444937874727</v>
      </c>
      <c r="L20" s="380" t="s">
        <v>460</v>
      </c>
      <c r="Q20" s="20"/>
    </row>
    <row r="21" spans="2:17" x14ac:dyDescent="0.35">
      <c r="B21" s="3" t="s">
        <v>10</v>
      </c>
      <c r="E21" s="243">
        <v>9</v>
      </c>
      <c r="F21" s="310" t="s">
        <v>450</v>
      </c>
      <c r="I21" s="378"/>
      <c r="J21" s="378"/>
      <c r="K21" s="381">
        <f ca="1">K20/PlantCapacity_kg_per_year*10^6</f>
        <v>25.484444937874727</v>
      </c>
      <c r="L21" s="380" t="s">
        <v>429</v>
      </c>
    </row>
    <row r="22" spans="2:17" x14ac:dyDescent="0.35">
      <c r="B22" s="3" t="s">
        <v>15</v>
      </c>
      <c r="E22" s="243">
        <v>0.55000000000000004</v>
      </c>
      <c r="F22" s="310" t="s">
        <v>450</v>
      </c>
      <c r="I22" s="377" t="s">
        <v>407</v>
      </c>
      <c r="K22" s="379">
        <f ca="1">K18-K20</f>
        <v>34.515555062125273</v>
      </c>
      <c r="L22" s="380" t="s">
        <v>460</v>
      </c>
    </row>
    <row r="23" spans="2:17" x14ac:dyDescent="0.35">
      <c r="B23" s="117" t="s">
        <v>11</v>
      </c>
      <c r="C23" s="6"/>
      <c r="E23" s="243">
        <v>4</v>
      </c>
      <c r="F23" s="310" t="s">
        <v>450</v>
      </c>
      <c r="K23" s="381">
        <f ca="1">K22/PlantCapacity_kg_per_year*10^6</f>
        <v>34.515555062125273</v>
      </c>
      <c r="L23" s="380" t="s">
        <v>429</v>
      </c>
    </row>
    <row r="24" spans="2:17" x14ac:dyDescent="0.35">
      <c r="I24" s="377"/>
    </row>
    <row r="26" spans="2:17" ht="23.5" x14ac:dyDescent="0.55000000000000004">
      <c r="B26" s="373" t="s">
        <v>456</v>
      </c>
      <c r="C26" s="140"/>
      <c r="D26" s="120"/>
      <c r="E26" s="120"/>
      <c r="F26" s="185"/>
      <c r="I26" s="393" t="s">
        <v>468</v>
      </c>
      <c r="J26" s="389"/>
      <c r="K26" s="390"/>
      <c r="L26" s="390"/>
    </row>
    <row r="27" spans="2:17" x14ac:dyDescent="0.35">
      <c r="B27" s="3" t="s">
        <v>452</v>
      </c>
      <c r="C27" s="3"/>
      <c r="E27" s="243">
        <v>85</v>
      </c>
      <c r="F27" s="372" t="s">
        <v>451</v>
      </c>
      <c r="I27" s="386" t="s">
        <v>463</v>
      </c>
      <c r="J27" s="387"/>
      <c r="K27" s="388">
        <f ca="1">'Process model'!O21</f>
        <v>38.434950807238067</v>
      </c>
      <c r="L27" s="387" t="s">
        <v>467</v>
      </c>
    </row>
    <row r="28" spans="2:17" x14ac:dyDescent="0.35">
      <c r="B28" s="3" t="s">
        <v>244</v>
      </c>
      <c r="E28" s="241">
        <v>0.11</v>
      </c>
      <c r="F28" s="372" t="s">
        <v>453</v>
      </c>
      <c r="I28" s="386" t="s">
        <v>561</v>
      </c>
      <c r="J28" s="387"/>
      <c r="K28" s="461">
        <f ca="1">'Process model'!O22</f>
        <v>1.8049876656083645E-3</v>
      </c>
    </row>
    <row r="29" spans="2:17" x14ac:dyDescent="0.35">
      <c r="B29" s="3" t="s">
        <v>448</v>
      </c>
      <c r="E29" s="27">
        <v>0.1</v>
      </c>
      <c r="F29" t="s">
        <v>457</v>
      </c>
      <c r="H29" s="187"/>
      <c r="L29" s="110"/>
    </row>
  </sheetData>
  <pageMargins left="0.7" right="0.7" top="0.75" bottom="0.75" header="0.3" footer="0.3"/>
  <pageSetup orientation="portrait" horizontalDpi="4294967293" verticalDpi="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0">
    <tabColor theme="3" tint="-0.249977111117893"/>
    <pageSetUpPr fitToPage="1"/>
  </sheetPr>
  <dimension ref="A1:V83"/>
  <sheetViews>
    <sheetView showGridLines="0" zoomScale="85" zoomScaleNormal="85" workbookViewId="0">
      <selection activeCell="N66" sqref="N66"/>
    </sheetView>
  </sheetViews>
  <sheetFormatPr defaultColWidth="11.453125" defaultRowHeight="14.5" x14ac:dyDescent="0.35"/>
  <cols>
    <col min="1" max="1" width="2.81640625" style="397" customWidth="1"/>
    <col min="2" max="6" width="12.453125" style="397" customWidth="1"/>
    <col min="7" max="7" width="11.7265625" style="397" customWidth="1"/>
    <col min="8" max="8" width="25.7265625" style="397" customWidth="1"/>
    <col min="9" max="12" width="14.26953125" style="397" customWidth="1"/>
    <col min="13" max="13" width="13.453125" style="397" customWidth="1"/>
    <col min="14" max="16384" width="11.453125" style="397"/>
  </cols>
  <sheetData>
    <row r="1" spans="1:20" s="146" customFormat="1" ht="26" x14ac:dyDescent="0.6">
      <c r="A1" s="145" t="s">
        <v>471</v>
      </c>
      <c r="K1" s="147"/>
      <c r="P1" s="148"/>
      <c r="S1" s="149"/>
      <c r="T1" s="150"/>
    </row>
    <row r="2" spans="1:20" customFormat="1" ht="15.5" x14ac:dyDescent="0.35">
      <c r="A2" t="s">
        <v>42</v>
      </c>
      <c r="B2" s="151" t="s">
        <v>552</v>
      </c>
    </row>
    <row r="3" spans="1:20" ht="31.5" customHeight="1" x14ac:dyDescent="0.35">
      <c r="A3" s="395"/>
      <c r="B3" s="395"/>
      <c r="C3" s="395"/>
      <c r="D3" s="395"/>
      <c r="E3" s="395"/>
      <c r="F3" s="395"/>
      <c r="G3" s="395"/>
      <c r="H3" s="396"/>
      <c r="I3" s="396"/>
      <c r="J3" s="396"/>
      <c r="K3" s="396"/>
      <c r="L3" s="396"/>
      <c r="M3" s="395"/>
    </row>
    <row r="4" spans="1:20" x14ac:dyDescent="0.35">
      <c r="B4" s="395"/>
      <c r="C4" s="395"/>
      <c r="D4" s="395"/>
      <c r="E4" s="395"/>
      <c r="F4" s="395"/>
      <c r="G4" s="395"/>
      <c r="H4" s="398" t="s">
        <v>472</v>
      </c>
      <c r="I4" s="399" t="s">
        <v>473</v>
      </c>
      <c r="J4" s="399" t="s">
        <v>474</v>
      </c>
      <c r="K4" s="399" t="s">
        <v>475</v>
      </c>
      <c r="L4" s="399" t="s">
        <v>476</v>
      </c>
      <c r="M4" s="400" t="s">
        <v>477</v>
      </c>
    </row>
    <row r="5" spans="1:20" x14ac:dyDescent="0.35">
      <c r="B5" s="395"/>
      <c r="C5" s="395"/>
      <c r="D5" s="395"/>
      <c r="E5" s="395"/>
      <c r="F5" s="395"/>
      <c r="G5" s="395"/>
      <c r="H5" s="402" t="s">
        <v>70</v>
      </c>
      <c r="I5" s="474">
        <v>900</v>
      </c>
      <c r="J5" s="474">
        <v>1000</v>
      </c>
      <c r="K5" s="474">
        <v>1200</v>
      </c>
      <c r="L5" s="404" t="s">
        <v>0</v>
      </c>
      <c r="M5" s="448">
        <f>Dashboard!$E$6</f>
        <v>1000</v>
      </c>
      <c r="P5"/>
    </row>
    <row r="6" spans="1:20" x14ac:dyDescent="0.35">
      <c r="B6" s="395"/>
      <c r="C6" s="395"/>
      <c r="D6" s="395"/>
      <c r="E6" s="395"/>
      <c r="F6" s="395"/>
      <c r="G6" s="395"/>
      <c r="H6" s="405" t="s">
        <v>66</v>
      </c>
      <c r="I6" s="474">
        <v>11</v>
      </c>
      <c r="J6" s="474">
        <v>12</v>
      </c>
      <c r="K6" s="474">
        <v>13</v>
      </c>
      <c r="L6" s="404" t="s">
        <v>67</v>
      </c>
      <c r="M6" s="406">
        <f>Dashboard!$E$7</f>
        <v>12</v>
      </c>
      <c r="N6" s="395"/>
      <c r="P6"/>
    </row>
    <row r="7" spans="1:20" x14ac:dyDescent="0.35">
      <c r="B7" s="395"/>
      <c r="C7" s="395"/>
      <c r="D7" s="395"/>
      <c r="E7" s="395"/>
      <c r="F7" s="395"/>
      <c r="G7" s="395"/>
      <c r="H7" s="405" t="s">
        <v>449</v>
      </c>
      <c r="I7" s="474">
        <v>400</v>
      </c>
      <c r="J7" s="474">
        <v>500</v>
      </c>
      <c r="K7" s="474">
        <v>800</v>
      </c>
      <c r="L7" s="404" t="s">
        <v>44</v>
      </c>
      <c r="M7" s="406">
        <f>Dashboard!$E$9</f>
        <v>500</v>
      </c>
      <c r="N7" s="395"/>
      <c r="P7"/>
    </row>
    <row r="8" spans="1:20" x14ac:dyDescent="0.35">
      <c r="B8" s="395"/>
      <c r="C8" s="395"/>
      <c r="D8" s="395"/>
      <c r="E8" s="395"/>
      <c r="F8" s="395"/>
      <c r="G8" s="395"/>
      <c r="H8" s="405" t="s">
        <v>99</v>
      </c>
      <c r="I8" s="474">
        <v>550</v>
      </c>
      <c r="J8" s="474">
        <v>500</v>
      </c>
      <c r="K8" s="474">
        <v>450</v>
      </c>
      <c r="L8" s="404" t="s">
        <v>100</v>
      </c>
      <c r="M8" s="406">
        <f>Dashboard!$E$10</f>
        <v>500</v>
      </c>
      <c r="P8"/>
    </row>
    <row r="9" spans="1:20" x14ac:dyDescent="0.35">
      <c r="B9" s="395"/>
      <c r="C9" s="395"/>
      <c r="D9" s="395"/>
      <c r="E9" s="395"/>
      <c r="F9" s="395"/>
      <c r="G9" s="395"/>
      <c r="H9" s="405" t="s">
        <v>495</v>
      </c>
      <c r="I9" s="475">
        <v>0.3</v>
      </c>
      <c r="J9" s="475">
        <v>0.2</v>
      </c>
      <c r="K9" s="475">
        <v>0.1</v>
      </c>
      <c r="L9" s="404" t="s">
        <v>52</v>
      </c>
      <c r="M9" s="403">
        <f>Dashboard!$E$12</f>
        <v>0.2</v>
      </c>
      <c r="P9"/>
    </row>
    <row r="10" spans="1:20" x14ac:dyDescent="0.35">
      <c r="B10" s="395"/>
      <c r="C10" s="395"/>
      <c r="D10" s="395"/>
      <c r="E10" s="395"/>
      <c r="F10" s="395"/>
      <c r="G10" s="395"/>
      <c r="H10" s="405" t="s">
        <v>437</v>
      </c>
      <c r="I10" s="470">
        <v>0.87</v>
      </c>
      <c r="J10" s="470">
        <v>0.9</v>
      </c>
      <c r="K10" s="470">
        <v>0.93</v>
      </c>
      <c r="L10" s="407" t="s">
        <v>73</v>
      </c>
      <c r="M10" s="449">
        <f>Dashboard!$E$13</f>
        <v>0.9</v>
      </c>
      <c r="P10"/>
    </row>
    <row r="11" spans="1:20" x14ac:dyDescent="0.35">
      <c r="B11" s="395"/>
      <c r="C11" s="395"/>
      <c r="D11" s="395"/>
      <c r="E11" s="395"/>
      <c r="F11" s="395"/>
      <c r="G11" s="395"/>
      <c r="H11" s="405" t="s">
        <v>498</v>
      </c>
      <c r="I11" s="452">
        <v>58</v>
      </c>
      <c r="J11" s="452">
        <v>60</v>
      </c>
      <c r="K11" s="452">
        <v>63</v>
      </c>
      <c r="L11" s="407" t="s">
        <v>450</v>
      </c>
      <c r="M11" s="450">
        <f>Dashboard!$E$17</f>
        <v>60</v>
      </c>
      <c r="P11"/>
    </row>
    <row r="12" spans="1:20" x14ac:dyDescent="0.35">
      <c r="B12" s="395"/>
      <c r="C12" s="395"/>
      <c r="D12" s="395"/>
      <c r="E12" s="395"/>
      <c r="F12" s="395"/>
      <c r="G12" s="395"/>
      <c r="H12" s="405" t="s">
        <v>499</v>
      </c>
      <c r="I12" s="452">
        <v>38.5</v>
      </c>
      <c r="J12" s="452">
        <v>35</v>
      </c>
      <c r="K12" s="452">
        <v>33</v>
      </c>
      <c r="L12" s="407" t="s">
        <v>450</v>
      </c>
      <c r="M12" s="450">
        <f>Dashboard!$E$18</f>
        <v>35</v>
      </c>
      <c r="P12"/>
    </row>
    <row r="13" spans="1:20" x14ac:dyDescent="0.35">
      <c r="B13" s="395"/>
      <c r="C13" s="395"/>
      <c r="D13" s="395"/>
      <c r="E13" s="395"/>
      <c r="F13" s="395"/>
      <c r="G13" s="395"/>
      <c r="H13" s="405" t="s">
        <v>500</v>
      </c>
      <c r="I13" s="476">
        <v>0.13</v>
      </c>
      <c r="J13" s="476">
        <v>0.11</v>
      </c>
      <c r="K13" s="476">
        <v>0.1</v>
      </c>
      <c r="L13" s="407" t="s">
        <v>453</v>
      </c>
      <c r="M13" s="451">
        <f>Dashboard!$E$28</f>
        <v>0.11</v>
      </c>
      <c r="P13"/>
    </row>
    <row r="14" spans="1:20" x14ac:dyDescent="0.35">
      <c r="B14" s="395"/>
      <c r="C14" s="395"/>
      <c r="D14" s="395"/>
      <c r="E14" s="395"/>
      <c r="F14" s="395"/>
      <c r="G14" s="395"/>
      <c r="H14" s="405" t="s">
        <v>448</v>
      </c>
      <c r="I14" s="475">
        <v>0.12</v>
      </c>
      <c r="J14" s="475">
        <v>0.1</v>
      </c>
      <c r="K14" s="475">
        <v>0.08</v>
      </c>
      <c r="L14" s="407" t="s">
        <v>496</v>
      </c>
      <c r="M14" s="403">
        <f>Dashboard!$E$29</f>
        <v>0.1</v>
      </c>
      <c r="P14"/>
    </row>
    <row r="15" spans="1:20" x14ac:dyDescent="0.35">
      <c r="B15" s="395"/>
      <c r="C15" s="395"/>
      <c r="D15" s="395"/>
      <c r="E15" s="395"/>
      <c r="F15" s="395"/>
      <c r="G15" s="395"/>
      <c r="H15" s="408"/>
      <c r="I15" s="409"/>
      <c r="J15" s="409"/>
      <c r="K15" s="409"/>
      <c r="L15" s="409"/>
      <c r="M15" s="409"/>
      <c r="P15"/>
    </row>
    <row r="16" spans="1:20" x14ac:dyDescent="0.35">
      <c r="B16" s="395"/>
      <c r="C16" s="395"/>
      <c r="D16" s="395"/>
      <c r="E16" s="395"/>
      <c r="F16" s="395"/>
      <c r="G16" s="395"/>
      <c r="H16" s="395"/>
      <c r="I16" s="395"/>
      <c r="J16" s="395"/>
      <c r="K16" s="395"/>
      <c r="L16" s="395"/>
      <c r="M16" s="395"/>
    </row>
    <row r="17" spans="1:22" x14ac:dyDescent="0.35">
      <c r="B17" s="395"/>
      <c r="C17" s="395"/>
      <c r="D17" s="395"/>
      <c r="E17" s="395"/>
      <c r="F17" s="395"/>
      <c r="G17" s="395"/>
    </row>
    <row r="18" spans="1:22" ht="15.5" x14ac:dyDescent="0.35">
      <c r="B18" s="395"/>
      <c r="C18" s="395"/>
      <c r="D18" s="395"/>
      <c r="E18" s="395"/>
      <c r="F18" s="395"/>
      <c r="G18" s="395"/>
      <c r="I18" s="410" t="s">
        <v>478</v>
      </c>
      <c r="J18" s="484" t="s">
        <v>424</v>
      </c>
      <c r="K18" s="484"/>
      <c r="L18" s="411"/>
    </row>
    <row r="19" spans="1:22" ht="15.5" x14ac:dyDescent="0.35">
      <c r="B19" s="395"/>
      <c r="C19" s="395"/>
      <c r="D19" s="395"/>
      <c r="E19" s="395"/>
      <c r="F19" s="395"/>
      <c r="G19" s="395"/>
      <c r="I19" s="412"/>
      <c r="J19" s="401"/>
      <c r="K19" s="401"/>
      <c r="L19" s="411"/>
    </row>
    <row r="20" spans="1:22" x14ac:dyDescent="0.35">
      <c r="B20" s="395"/>
      <c r="C20" s="395"/>
      <c r="D20" s="395"/>
      <c r="E20" s="395"/>
      <c r="F20" s="395"/>
      <c r="G20" s="395"/>
      <c r="I20" s="395"/>
    </row>
    <row r="21" spans="1:22" x14ac:dyDescent="0.35">
      <c r="A21" s="395"/>
      <c r="B21" s="395"/>
      <c r="C21" s="395"/>
      <c r="D21" s="395"/>
      <c r="E21" s="395"/>
      <c r="F21" s="395"/>
      <c r="G21" s="395"/>
      <c r="H21" s="413" t="s">
        <v>479</v>
      </c>
      <c r="I21" s="413"/>
      <c r="J21" s="413"/>
      <c r="K21" s="413"/>
      <c r="L21" s="413"/>
    </row>
    <row r="22" spans="1:22" x14ac:dyDescent="0.35">
      <c r="A22" s="395"/>
      <c r="B22" s="395"/>
      <c r="C22" s="395"/>
      <c r="D22" s="395"/>
      <c r="E22" s="395"/>
      <c r="F22" s="395"/>
      <c r="G22" s="395"/>
      <c r="H22" s="414" t="s">
        <v>480</v>
      </c>
      <c r="I22" s="415"/>
      <c r="J22" s="415"/>
      <c r="K22" s="415"/>
    </row>
    <row r="23" spans="1:22" x14ac:dyDescent="0.35">
      <c r="A23" s="395"/>
      <c r="B23" s="395"/>
      <c r="C23" s="395"/>
      <c r="D23" s="395"/>
      <c r="E23" s="395"/>
      <c r="F23" s="395"/>
      <c r="G23" s="395"/>
      <c r="H23" s="414" t="s">
        <v>481</v>
      </c>
      <c r="I23" s="415"/>
      <c r="J23" s="415"/>
      <c r="K23" s="415"/>
    </row>
    <row r="24" spans="1:22" x14ac:dyDescent="0.35">
      <c r="A24" s="395"/>
      <c r="H24" s="414" t="s">
        <v>482</v>
      </c>
      <c r="I24" s="415"/>
      <c r="J24" s="415"/>
      <c r="K24" s="415"/>
    </row>
    <row r="25" spans="1:22" x14ac:dyDescent="0.35">
      <c r="A25" s="395"/>
      <c r="H25" s="414" t="s">
        <v>483</v>
      </c>
      <c r="I25" s="395"/>
    </row>
    <row r="26" spans="1:22" x14ac:dyDescent="0.35">
      <c r="I26" s="395"/>
      <c r="L26" s="415"/>
    </row>
    <row r="27" spans="1:22" x14ac:dyDescent="0.35">
      <c r="L27" s="415"/>
    </row>
    <row r="28" spans="1:22" x14ac:dyDescent="0.35">
      <c r="L28" s="415"/>
    </row>
    <row r="30" spans="1:22" ht="16.5" customHeight="1" x14ac:dyDescent="0.35">
      <c r="A30" s="416" t="s">
        <v>484</v>
      </c>
    </row>
    <row r="32" spans="1:22" x14ac:dyDescent="0.35">
      <c r="I32" s="395"/>
      <c r="P32"/>
      <c r="Q32"/>
      <c r="R32"/>
      <c r="S32"/>
      <c r="T32"/>
      <c r="U32"/>
      <c r="V32"/>
    </row>
    <row r="33" spans="1:9" x14ac:dyDescent="0.35">
      <c r="I33" s="395"/>
    </row>
    <row r="34" spans="1:9" x14ac:dyDescent="0.35">
      <c r="I34" s="395"/>
    </row>
    <row r="35" spans="1:9" x14ac:dyDescent="0.35">
      <c r="I35" s="395"/>
    </row>
    <row r="36" spans="1:9" x14ac:dyDescent="0.35">
      <c r="I36" s="395"/>
    </row>
    <row r="37" spans="1:9" x14ac:dyDescent="0.35">
      <c r="I37" s="395"/>
    </row>
    <row r="38" spans="1:9" x14ac:dyDescent="0.35">
      <c r="I38" s="395"/>
    </row>
    <row r="39" spans="1:9" x14ac:dyDescent="0.35">
      <c r="I39" s="395"/>
    </row>
    <row r="40" spans="1:9" x14ac:dyDescent="0.35">
      <c r="I40" s="395"/>
    </row>
    <row r="41" spans="1:9" x14ac:dyDescent="0.35">
      <c r="I41" s="395"/>
    </row>
    <row r="42" spans="1:9" x14ac:dyDescent="0.35">
      <c r="A42" s="395"/>
      <c r="I42" s="395"/>
    </row>
    <row r="43" spans="1:9" x14ac:dyDescent="0.35">
      <c r="A43" s="395"/>
      <c r="I43" s="395"/>
    </row>
    <row r="49" spans="7:15" x14ac:dyDescent="0.35">
      <c r="G49" s="417" t="s">
        <v>485</v>
      </c>
    </row>
    <row r="50" spans="7:15" x14ac:dyDescent="0.35">
      <c r="G50" s="418"/>
      <c r="H50" s="419"/>
      <c r="I50" s="419"/>
      <c r="J50" s="419"/>
      <c r="K50" s="420"/>
    </row>
    <row r="51" spans="7:15" x14ac:dyDescent="0.35">
      <c r="G51" s="421"/>
      <c r="H51" s="422" t="s">
        <v>486</v>
      </c>
      <c r="I51" s="422" t="s">
        <v>477</v>
      </c>
      <c r="J51" s="422" t="s">
        <v>487</v>
      </c>
      <c r="K51" s="423"/>
    </row>
    <row r="52" spans="7:15" x14ac:dyDescent="0.35">
      <c r="G52" s="421"/>
      <c r="H52" s="424" t="s">
        <v>497</v>
      </c>
      <c r="I52" s="428">
        <f ca="1">Dashboard!K6</f>
        <v>52.396376991164971</v>
      </c>
      <c r="J52" s="424">
        <v>1</v>
      </c>
      <c r="K52" s="423"/>
      <c r="M52" s="426"/>
      <c r="O52" s="19"/>
    </row>
    <row r="53" spans="7:15" x14ac:dyDescent="0.35">
      <c r="G53" s="421"/>
      <c r="H53" s="424" t="s">
        <v>424</v>
      </c>
      <c r="I53" s="427">
        <f ca="1">Dashboard!K7</f>
        <v>0.1738735901276085</v>
      </c>
      <c r="J53" s="424">
        <v>1</v>
      </c>
      <c r="K53" s="423"/>
    </row>
    <row r="54" spans="7:15" x14ac:dyDescent="0.35">
      <c r="G54" s="421"/>
      <c r="H54" s="424" t="s">
        <v>553</v>
      </c>
      <c r="I54" s="478">
        <f ca="1">Dashboard!K8</f>
        <v>9.3192454421677429</v>
      </c>
      <c r="J54" s="424">
        <v>0</v>
      </c>
      <c r="K54" s="423"/>
    </row>
    <row r="55" spans="7:15" x14ac:dyDescent="0.35">
      <c r="G55" s="421"/>
      <c r="H55" s="424" t="s">
        <v>410</v>
      </c>
      <c r="I55" s="427">
        <f ca="1">Dashboard!K9</f>
        <v>0.57525925103542119</v>
      </c>
      <c r="J55" s="424">
        <v>1</v>
      </c>
      <c r="K55" s="423"/>
      <c r="M55"/>
      <c r="N55"/>
      <c r="O55"/>
    </row>
    <row r="56" spans="7:15" x14ac:dyDescent="0.35">
      <c r="G56" s="421"/>
      <c r="H56" s="424" t="s">
        <v>554</v>
      </c>
      <c r="I56" s="425">
        <f ca="1">Dashboard!K10</f>
        <v>143231.60519936107</v>
      </c>
      <c r="J56" s="424">
        <v>0</v>
      </c>
      <c r="K56" s="423"/>
      <c r="M56"/>
      <c r="N56"/>
      <c r="O56"/>
    </row>
    <row r="57" spans="7:15" x14ac:dyDescent="0.35">
      <c r="G57" s="421"/>
      <c r="H57" s="424"/>
      <c r="I57" s="425"/>
      <c r="J57" s="424"/>
      <c r="K57" s="423"/>
      <c r="M57"/>
      <c r="N57"/>
      <c r="O57"/>
    </row>
    <row r="58" spans="7:15" x14ac:dyDescent="0.35">
      <c r="G58" s="421"/>
      <c r="H58" s="395"/>
      <c r="I58" s="395"/>
      <c r="J58" s="395"/>
      <c r="K58" s="423"/>
      <c r="M58"/>
      <c r="N58"/>
      <c r="O58"/>
    </row>
    <row r="59" spans="7:15" x14ac:dyDescent="0.35">
      <c r="G59" s="421"/>
      <c r="H59" s="429" t="s">
        <v>488</v>
      </c>
      <c r="I59" s="430">
        <f>MATCH(J18,$H$52:$H$57,0)</f>
        <v>2</v>
      </c>
      <c r="J59" s="395"/>
      <c r="K59" s="423"/>
      <c r="M59"/>
      <c r="N59"/>
      <c r="O59"/>
    </row>
    <row r="60" spans="7:15" x14ac:dyDescent="0.35">
      <c r="G60" s="421"/>
      <c r="H60" s="429" t="s">
        <v>489</v>
      </c>
      <c r="I60" s="403">
        <f ca="1">INDEX($I$52:$I$57,I59)</f>
        <v>0.1738735901276085</v>
      </c>
      <c r="J60" s="395"/>
      <c r="K60" s="423"/>
      <c r="M60"/>
      <c r="N60"/>
      <c r="O60"/>
    </row>
    <row r="61" spans="7:15" x14ac:dyDescent="0.35">
      <c r="G61" s="421"/>
      <c r="H61" s="429" t="s">
        <v>490</v>
      </c>
      <c r="I61" s="430" t="str">
        <f ca="1">CELL("format",INDEX($I$52:$I$57,I59))</f>
        <v>P0</v>
      </c>
      <c r="J61" s="395"/>
      <c r="K61" s="423"/>
      <c r="M61"/>
      <c r="N61"/>
      <c r="O61"/>
    </row>
    <row r="62" spans="7:15" x14ac:dyDescent="0.35">
      <c r="G62" s="421"/>
      <c r="H62" s="431"/>
      <c r="I62" s="396"/>
      <c r="J62" s="396"/>
      <c r="K62" s="432"/>
      <c r="M62"/>
      <c r="N62"/>
      <c r="O62"/>
    </row>
    <row r="63" spans="7:15" x14ac:dyDescent="0.35">
      <c r="G63" s="433"/>
      <c r="H63" s="434" t="s">
        <v>491</v>
      </c>
      <c r="I63" s="435" t="s">
        <v>487</v>
      </c>
      <c r="J63" s="435" t="s">
        <v>477</v>
      </c>
      <c r="K63" s="423"/>
      <c r="M63"/>
      <c r="N63"/>
      <c r="O63"/>
    </row>
    <row r="64" spans="7:15" x14ac:dyDescent="0.35">
      <c r="G64" s="433"/>
      <c r="H64" s="436" t="str">
        <f>J18</f>
        <v>IRR</v>
      </c>
      <c r="I64" s="437">
        <f>INDEX(J52:J57,MATCH(T_Metric,H52:H57,0))</f>
        <v>1</v>
      </c>
      <c r="J64" s="438">
        <f ca="1">Tornado!I60</f>
        <v>0.1738735901276085</v>
      </c>
      <c r="K64" s="423"/>
      <c r="M64"/>
      <c r="N64"/>
      <c r="O64"/>
    </row>
    <row r="65" spans="7:15" x14ac:dyDescent="0.35">
      <c r="G65" s="433"/>
      <c r="H65" s="439" t="s">
        <v>492</v>
      </c>
      <c r="I65" s="439" t="s">
        <v>493</v>
      </c>
      <c r="J65" s="440" t="s">
        <v>494</v>
      </c>
      <c r="K65" s="423"/>
      <c r="M65"/>
      <c r="N65"/>
      <c r="O65"/>
    </row>
    <row r="66" spans="7:15" x14ac:dyDescent="0.35">
      <c r="G66" s="433"/>
      <c r="H66" s="430" t="s">
        <v>499</v>
      </c>
      <c r="I66" s="403">
        <v>0.17330492203708148</v>
      </c>
      <c r="J66" s="441">
        <v>0.17419827249830799</v>
      </c>
      <c r="K66" s="423"/>
    </row>
    <row r="67" spans="7:15" x14ac:dyDescent="0.35">
      <c r="G67" s="433"/>
      <c r="H67" s="430" t="s">
        <v>448</v>
      </c>
      <c r="I67" s="403">
        <v>0.16955074412680982</v>
      </c>
      <c r="J67" s="441">
        <v>0.1781575425722759</v>
      </c>
      <c r="K67" s="423"/>
    </row>
    <row r="68" spans="7:15" x14ac:dyDescent="0.35">
      <c r="G68" s="433"/>
      <c r="H68" s="430" t="s">
        <v>99</v>
      </c>
      <c r="I68" s="403">
        <v>0.16923783241295753</v>
      </c>
      <c r="J68" s="441">
        <v>0.17850890140577635</v>
      </c>
      <c r="K68" s="423"/>
    </row>
    <row r="69" spans="7:15" x14ac:dyDescent="0.35">
      <c r="G69" s="433"/>
      <c r="H69" s="430" t="s">
        <v>500</v>
      </c>
      <c r="I69" s="403">
        <v>0.16918876300681518</v>
      </c>
      <c r="J69" s="441">
        <v>0.1762006815624364</v>
      </c>
      <c r="K69" s="423"/>
    </row>
    <row r="70" spans="7:15" x14ac:dyDescent="0.35">
      <c r="G70" s="433"/>
      <c r="H70" s="430" t="s">
        <v>70</v>
      </c>
      <c r="I70" s="403">
        <v>0.16854081593776926</v>
      </c>
      <c r="J70" s="441">
        <v>0.1767241209951298</v>
      </c>
      <c r="K70" s="423"/>
    </row>
    <row r="71" spans="7:15" x14ac:dyDescent="0.35">
      <c r="G71" s="433"/>
      <c r="H71" s="430" t="s">
        <v>449</v>
      </c>
      <c r="I71" s="406">
        <v>0.16712682187661554</v>
      </c>
      <c r="J71" s="442">
        <v>0.18550480674299097</v>
      </c>
      <c r="K71" s="423"/>
    </row>
    <row r="72" spans="7:15" x14ac:dyDescent="0.35">
      <c r="G72" s="433"/>
      <c r="H72" s="430" t="s">
        <v>498</v>
      </c>
      <c r="I72" s="403">
        <v>0.16262551222585864</v>
      </c>
      <c r="J72" s="441">
        <v>0.1902659379248397</v>
      </c>
      <c r="K72" s="423"/>
    </row>
    <row r="73" spans="7:15" x14ac:dyDescent="0.35">
      <c r="G73" s="433"/>
      <c r="H73" s="430" t="s">
        <v>437</v>
      </c>
      <c r="I73" s="403">
        <v>0.16101446312105594</v>
      </c>
      <c r="J73" s="441">
        <v>0.18448157562235457</v>
      </c>
      <c r="K73" s="423"/>
    </row>
    <row r="74" spans="7:15" x14ac:dyDescent="0.35">
      <c r="G74" s="433"/>
      <c r="H74" s="430" t="s">
        <v>495</v>
      </c>
      <c r="I74" s="403">
        <v>0.15827788352388361</v>
      </c>
      <c r="J74" s="441">
        <v>0.19142790371116103</v>
      </c>
      <c r="K74" s="423"/>
    </row>
    <row r="75" spans="7:15" x14ac:dyDescent="0.35">
      <c r="G75" s="433"/>
      <c r="H75" s="430" t="s">
        <v>66</v>
      </c>
      <c r="I75" s="403">
        <v>0.15390068955137148</v>
      </c>
      <c r="J75" s="441">
        <v>0.19120504055317045</v>
      </c>
      <c r="K75" s="423"/>
    </row>
    <row r="76" spans="7:15" x14ac:dyDescent="0.35">
      <c r="G76" s="433"/>
      <c r="H76" s="430"/>
      <c r="I76" s="406"/>
      <c r="J76" s="442"/>
      <c r="K76" s="423"/>
    </row>
    <row r="77" spans="7:15" x14ac:dyDescent="0.35">
      <c r="G77" s="433"/>
      <c r="H77" s="430"/>
      <c r="I77" s="406"/>
      <c r="J77" s="442"/>
      <c r="K77" s="423"/>
    </row>
    <row r="78" spans="7:15" x14ac:dyDescent="0.35">
      <c r="G78" s="433"/>
      <c r="H78" s="430"/>
      <c r="I78" s="406"/>
      <c r="J78" s="442"/>
      <c r="K78" s="423"/>
    </row>
    <row r="79" spans="7:15" x14ac:dyDescent="0.35">
      <c r="G79" s="433"/>
      <c r="H79" s="430"/>
      <c r="I79" s="406"/>
      <c r="J79" s="442"/>
      <c r="K79" s="423"/>
    </row>
    <row r="80" spans="7:15" x14ac:dyDescent="0.35">
      <c r="G80" s="433"/>
      <c r="H80" s="430"/>
      <c r="I80" s="406"/>
      <c r="J80" s="442"/>
      <c r="K80" s="423"/>
    </row>
    <row r="81" spans="7:11" x14ac:dyDescent="0.35">
      <c r="G81" s="433"/>
      <c r="H81" s="409"/>
      <c r="I81" s="443"/>
      <c r="J81" s="444"/>
      <c r="K81" s="423"/>
    </row>
    <row r="82" spans="7:11" x14ac:dyDescent="0.35">
      <c r="G82" s="421"/>
      <c r="H82" s="395"/>
      <c r="I82" s="395"/>
      <c r="J82" s="395"/>
      <c r="K82" s="423"/>
    </row>
    <row r="83" spans="7:11" x14ac:dyDescent="0.35">
      <c r="G83" s="445"/>
      <c r="H83" s="446"/>
      <c r="I83" s="446"/>
      <c r="J83" s="446"/>
      <c r="K83" s="447"/>
    </row>
  </sheetData>
  <sortState ref="H66:J75">
    <sortCondition descending="1" ref="I65:I80"/>
  </sortState>
  <mergeCells count="1">
    <mergeCell ref="J18:K18"/>
  </mergeCells>
  <dataValidations count="1">
    <dataValidation type="list" allowBlank="1" showInputMessage="1" showErrorMessage="1" sqref="J18">
      <formula1>$H$52:$H$57</formula1>
    </dataValidation>
  </dataValidations>
  <pageMargins left="0.5" right="0.5" top="0.5" bottom="0.5" header="0.3" footer="0.3"/>
  <pageSetup scale="59" orientation="portrait" r:id="rId1"/>
  <headerFooter>
    <oddFooter>&amp;L&amp;F, &amp;A&amp;Rcgb,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ornadoRefreshButton_Click">
                <anchor moveWithCells="1" sizeWithCells="1">
                  <from>
                    <xdr:col>7</xdr:col>
                    <xdr:colOff>317500</xdr:colOff>
                    <xdr:row>16</xdr:row>
                    <xdr:rowOff>133350</xdr:rowOff>
                  </from>
                  <to>
                    <xdr:col>7</xdr:col>
                    <xdr:colOff>1441450</xdr:colOff>
                    <xdr:row>18</xdr:row>
                    <xdr:rowOff>107950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sheetPr>
  <dimension ref="A1:AA156"/>
  <sheetViews>
    <sheetView showGridLines="0" zoomScale="85" zoomScaleNormal="85" workbookViewId="0">
      <selection activeCell="L123" sqref="L123"/>
    </sheetView>
  </sheetViews>
  <sheetFormatPr defaultColWidth="11.453125" defaultRowHeight="14.5" x14ac:dyDescent="0.35"/>
  <cols>
    <col min="1" max="1" width="2.81640625" customWidth="1"/>
    <col min="4" max="4" width="12.26953125" bestFit="1" customWidth="1"/>
  </cols>
  <sheetData>
    <row r="1" spans="1:20" s="146" customFormat="1" ht="26" x14ac:dyDescent="0.6">
      <c r="A1" s="145" t="s">
        <v>268</v>
      </c>
      <c r="K1" s="147"/>
      <c r="P1" s="480"/>
      <c r="S1" s="149"/>
      <c r="T1" s="150"/>
    </row>
    <row r="2" spans="1:20" ht="15.5" x14ac:dyDescent="0.35">
      <c r="B2" s="151" t="s">
        <v>504</v>
      </c>
    </row>
    <row r="5" spans="1:20" ht="23.5" x14ac:dyDescent="0.55000000000000004">
      <c r="B5" s="140" t="s">
        <v>77</v>
      </c>
      <c r="C5" s="140"/>
      <c r="D5" s="120"/>
      <c r="E5" s="140"/>
      <c r="G5" s="140" t="s">
        <v>84</v>
      </c>
      <c r="H5" s="140"/>
      <c r="I5" s="120" t="s">
        <v>447</v>
      </c>
      <c r="J5" s="120" t="s">
        <v>0</v>
      </c>
      <c r="L5" s="140" t="s">
        <v>89</v>
      </c>
      <c r="M5" s="140"/>
      <c r="N5" s="120" t="s">
        <v>90</v>
      </c>
      <c r="O5" s="120" t="s">
        <v>447</v>
      </c>
      <c r="P5" s="120" t="s">
        <v>0</v>
      </c>
    </row>
    <row r="6" spans="1:20" x14ac:dyDescent="0.35">
      <c r="B6" s="3" t="s">
        <v>70</v>
      </c>
      <c r="D6" s="366">
        <f>Dashboard!E6</f>
        <v>1000</v>
      </c>
      <c r="E6" t="s">
        <v>0</v>
      </c>
      <c r="G6" s="3" t="s">
        <v>8</v>
      </c>
      <c r="I6" s="25">
        <f t="shared" ref="I6:I15" ca="1" si="0">StreamTable(100,G6)/1000</f>
        <v>2977.7915277703974</v>
      </c>
      <c r="J6" s="25">
        <f t="shared" ref="J6:J16" ca="1" si="1">I6*Batches_per_year</f>
        <v>35733.498333244766</v>
      </c>
      <c r="L6" s="3" t="s">
        <v>24</v>
      </c>
      <c r="N6" s="48">
        <f t="shared" ref="N6:N11" ca="1" si="2">O6/SUM($O$6:$O$11)</f>
        <v>0.86099661151943674</v>
      </c>
      <c r="O6" s="104">
        <f t="shared" ref="O6:O11" ca="1" si="3">StreamTable(700,L6)/1000</f>
        <v>83.333333333333329</v>
      </c>
      <c r="P6" s="25">
        <f t="shared" ref="P6:P11" ca="1" si="4">O6*Batches_per_year</f>
        <v>1000</v>
      </c>
    </row>
    <row r="7" spans="1:20" x14ac:dyDescent="0.35">
      <c r="B7" s="3" t="s">
        <v>66</v>
      </c>
      <c r="D7" s="367">
        <f>Dashboard!E7</f>
        <v>12</v>
      </c>
      <c r="E7" t="s">
        <v>67</v>
      </c>
      <c r="G7" s="3" t="s">
        <v>15</v>
      </c>
      <c r="I7" s="104">
        <f t="shared" ca="1" si="0"/>
        <v>89.333745833111934</v>
      </c>
      <c r="J7" s="25">
        <f t="shared" ca="1" si="1"/>
        <v>1072.0049499973431</v>
      </c>
      <c r="L7" s="3" t="s">
        <v>23</v>
      </c>
      <c r="N7" s="48">
        <f t="shared" ca="1" si="2"/>
        <v>9.4845946515443091E-2</v>
      </c>
      <c r="O7" s="104">
        <f t="shared" ca="1" si="3"/>
        <v>9.1798606063486208</v>
      </c>
      <c r="P7" s="25">
        <f t="shared" ca="1" si="4"/>
        <v>110.15832727618346</v>
      </c>
    </row>
    <row r="8" spans="1:20" x14ac:dyDescent="0.35">
      <c r="B8" s="3" t="s">
        <v>43</v>
      </c>
      <c r="D8" s="364">
        <f>Dashboard!E8</f>
        <v>0.1</v>
      </c>
      <c r="E8" t="s">
        <v>39</v>
      </c>
      <c r="G8" s="3" t="s">
        <v>9</v>
      </c>
      <c r="I8" s="104">
        <f t="shared" ca="1" si="0"/>
        <v>29.777915277703976</v>
      </c>
      <c r="J8" s="25">
        <f t="shared" ca="1" si="1"/>
        <v>357.33498333244768</v>
      </c>
      <c r="L8" s="3" t="s">
        <v>8</v>
      </c>
      <c r="N8" s="48">
        <f t="shared" ca="1" si="2"/>
        <v>4.3558744043295163E-2</v>
      </c>
      <c r="O8" s="104">
        <f t="shared" ca="1" si="3"/>
        <v>4.2159229065204276</v>
      </c>
      <c r="P8" s="25">
        <f t="shared" ca="1" si="4"/>
        <v>50.591074878245131</v>
      </c>
    </row>
    <row r="9" spans="1:20" x14ac:dyDescent="0.35">
      <c r="G9" s="3" t="s">
        <v>10</v>
      </c>
      <c r="I9" s="104">
        <f t="shared" ca="1" si="0"/>
        <v>29.777915277703976</v>
      </c>
      <c r="J9" s="25">
        <f t="shared" ca="1" si="1"/>
        <v>357.33498333244768</v>
      </c>
      <c r="L9" s="3" t="s">
        <v>9</v>
      </c>
      <c r="N9" s="49">
        <f t="shared" ca="1" si="2"/>
        <v>5.5434992761548799E-4</v>
      </c>
      <c r="O9" s="323">
        <f t="shared" ca="1" si="3"/>
        <v>5.3653901401269112E-2</v>
      </c>
      <c r="P9" s="323">
        <f t="shared" ca="1" si="4"/>
        <v>0.64384681681522937</v>
      </c>
    </row>
    <row r="10" spans="1:20" x14ac:dyDescent="0.35">
      <c r="G10" s="3" t="s">
        <v>11</v>
      </c>
      <c r="I10" s="104">
        <f t="shared" ca="1" si="0"/>
        <v>29.777915277703976</v>
      </c>
      <c r="J10" s="25">
        <f t="shared" ca="1" si="1"/>
        <v>357.33498333244768</v>
      </c>
      <c r="L10" s="3" t="s">
        <v>26</v>
      </c>
      <c r="N10" s="49">
        <f t="shared" ca="1" si="2"/>
        <v>2.2173997104619557E-5</v>
      </c>
      <c r="O10" s="323">
        <f t="shared" ca="1" si="3"/>
        <v>2.146156056050768E-3</v>
      </c>
      <c r="P10" s="323">
        <f t="shared" ca="1" si="4"/>
        <v>2.5753872672609215E-2</v>
      </c>
    </row>
    <row r="11" spans="1:20" ht="23.5" x14ac:dyDescent="0.55000000000000004">
      <c r="B11" s="140" t="s">
        <v>107</v>
      </c>
      <c r="C11" s="140"/>
      <c r="D11" s="120"/>
      <c r="E11" s="140"/>
      <c r="G11" s="3" t="s">
        <v>12</v>
      </c>
      <c r="I11" s="104">
        <f t="shared" ca="1" si="0"/>
        <v>29.777915277703976</v>
      </c>
      <c r="J11" s="25">
        <f t="shared" ca="1" si="1"/>
        <v>357.33498333244768</v>
      </c>
      <c r="L11" s="135" t="s">
        <v>27</v>
      </c>
      <c r="M11" s="125"/>
      <c r="N11" s="325">
        <f t="shared" ca="1" si="2"/>
        <v>2.2173997104619557E-5</v>
      </c>
      <c r="O11" s="326">
        <f t="shared" ca="1" si="3"/>
        <v>2.146156056050768E-3</v>
      </c>
      <c r="P11" s="326">
        <f t="shared" ca="1" si="4"/>
        <v>2.5753872672609215E-2</v>
      </c>
    </row>
    <row r="12" spans="1:20" x14ac:dyDescent="0.35">
      <c r="B12" s="3" t="s">
        <v>71</v>
      </c>
      <c r="D12" s="368">
        <f>Dashboard!E11</f>
        <v>0.99</v>
      </c>
      <c r="G12" s="3" t="s">
        <v>16</v>
      </c>
      <c r="I12" s="104">
        <f t="shared" ca="1" si="0"/>
        <v>2.3822332222163181</v>
      </c>
      <c r="J12" s="25">
        <f t="shared" ca="1" si="1"/>
        <v>28.586798666595818</v>
      </c>
      <c r="L12" s="3" t="s">
        <v>59</v>
      </c>
      <c r="N12" s="1">
        <f ca="1">SUM(N6:N11)</f>
        <v>0.99999999999999967</v>
      </c>
      <c r="O12" s="104">
        <f ca="1">SUM(O6:O11)</f>
        <v>96.787063059715777</v>
      </c>
      <c r="P12" s="25">
        <f ca="1">SUM(P6:P11)</f>
        <v>1161.4447567165889</v>
      </c>
    </row>
    <row r="13" spans="1:20" x14ac:dyDescent="0.35">
      <c r="B13" s="3" t="s">
        <v>51</v>
      </c>
      <c r="D13" s="364">
        <f>Dashboard!E12</f>
        <v>0.2</v>
      </c>
      <c r="E13" t="s">
        <v>52</v>
      </c>
      <c r="G13" s="3" t="s">
        <v>26</v>
      </c>
      <c r="I13" s="104">
        <f t="shared" ca="1" si="0"/>
        <v>1.191116611108159</v>
      </c>
      <c r="J13" s="25">
        <f t="shared" ca="1" si="1"/>
        <v>14.293399333297909</v>
      </c>
    </row>
    <row r="14" spans="1:20" x14ac:dyDescent="0.35">
      <c r="G14" s="3" t="s">
        <v>27</v>
      </c>
      <c r="I14" s="104">
        <f t="shared" ca="1" si="0"/>
        <v>1.191116611108159</v>
      </c>
      <c r="J14" s="25">
        <f t="shared" ca="1" si="1"/>
        <v>14.293399333297909</v>
      </c>
    </row>
    <row r="15" spans="1:20" x14ac:dyDescent="0.35">
      <c r="G15" s="3" t="s">
        <v>29</v>
      </c>
      <c r="I15" s="104">
        <f t="shared" ca="1" si="0"/>
        <v>11.91116611108159</v>
      </c>
      <c r="J15" s="25">
        <f t="shared" ca="1" si="1"/>
        <v>142.93399333297907</v>
      </c>
    </row>
    <row r="16" spans="1:20" x14ac:dyDescent="0.35">
      <c r="G16" s="117" t="s">
        <v>85</v>
      </c>
      <c r="H16" s="6"/>
      <c r="I16" s="385">
        <f ca="1">(StreamTable(205,"Oxygen")+StreamTable(205,"Nitrogen")+StreamTable(605,"Oxygen")+StreamTable(605,"Nitrogen"))/1000</f>
        <v>28188.819669991084</v>
      </c>
      <c r="J16" s="385">
        <f t="shared" ca="1" si="1"/>
        <v>338265.83603989298</v>
      </c>
    </row>
    <row r="17" spans="2:16" x14ac:dyDescent="0.35">
      <c r="G17" s="117"/>
      <c r="H17" s="6"/>
      <c r="I17" s="6"/>
      <c r="J17" s="6"/>
      <c r="K17" s="6"/>
    </row>
    <row r="18" spans="2:16" x14ac:dyDescent="0.35">
      <c r="G18" s="6"/>
      <c r="H18" s="6"/>
      <c r="I18" s="6"/>
      <c r="J18" s="6"/>
      <c r="K18" s="6"/>
    </row>
    <row r="20" spans="2:16" ht="23.5" x14ac:dyDescent="0.55000000000000004">
      <c r="B20" s="140" t="s">
        <v>436</v>
      </c>
      <c r="C20" s="140"/>
      <c r="D20" s="120"/>
      <c r="E20" s="140"/>
      <c r="G20" s="140" t="s">
        <v>88</v>
      </c>
      <c r="H20" s="140"/>
      <c r="I20" s="120" t="s">
        <v>447</v>
      </c>
      <c r="J20" s="120" t="s">
        <v>0</v>
      </c>
      <c r="L20" s="140" t="s">
        <v>464</v>
      </c>
      <c r="M20" s="140"/>
      <c r="N20" s="120"/>
      <c r="O20" s="120"/>
      <c r="P20" s="120"/>
    </row>
    <row r="21" spans="2:16" x14ac:dyDescent="0.35">
      <c r="B21" s="3" t="s">
        <v>72</v>
      </c>
      <c r="D21" s="5">
        <v>0.2</v>
      </c>
      <c r="G21" s="3" t="s">
        <v>444</v>
      </c>
      <c r="I21" s="25">
        <f ca="1">StreamTable(550, "Mass per batch")/1000</f>
        <v>42.777345080524547</v>
      </c>
      <c r="J21" s="25">
        <f ca="1">I21*Batches_per_year</f>
        <v>513.32814096629454</v>
      </c>
      <c r="L21" s="3" t="s">
        <v>466</v>
      </c>
      <c r="O21" s="104">
        <f ca="1">SUM(J6:J15)/P6</f>
        <v>38.434950807238067</v>
      </c>
    </row>
    <row r="22" spans="2:16" x14ac:dyDescent="0.35">
      <c r="B22" s="3" t="s">
        <v>54</v>
      </c>
      <c r="D22" s="5">
        <v>0.3</v>
      </c>
      <c r="G22" s="3" t="s">
        <v>445</v>
      </c>
      <c r="I22" s="25">
        <f ca="1">StreamTable(555, "Mass per batch")/1000</f>
        <v>1704.1188657888879</v>
      </c>
      <c r="J22" s="25">
        <f ca="1">I22*Batches_per_year</f>
        <v>20449.426389466655</v>
      </c>
      <c r="L22" s="3" t="s">
        <v>465</v>
      </c>
      <c r="O22" s="49">
        <f ca="1">-O107/StreamTable(205,"Oxygen")</f>
        <v>1.8049876656083645E-3</v>
      </c>
    </row>
    <row r="23" spans="2:16" x14ac:dyDescent="0.35">
      <c r="B23" s="3" t="s">
        <v>437</v>
      </c>
      <c r="D23" s="365">
        <f>Dashboard!E13</f>
        <v>0.9</v>
      </c>
      <c r="E23" t="s">
        <v>73</v>
      </c>
    </row>
    <row r="24" spans="2:16" x14ac:dyDescent="0.35">
      <c r="K24" s="25"/>
    </row>
    <row r="25" spans="2:16" x14ac:dyDescent="0.35">
      <c r="K25" s="25"/>
    </row>
    <row r="26" spans="2:16" ht="23.5" x14ac:dyDescent="0.55000000000000004">
      <c r="B26" s="140" t="s">
        <v>76</v>
      </c>
      <c r="C26" s="140"/>
      <c r="D26" s="120"/>
      <c r="E26" s="140"/>
      <c r="G26" s="140" t="s">
        <v>86</v>
      </c>
      <c r="H26" s="140"/>
      <c r="I26" s="120" t="s">
        <v>447</v>
      </c>
      <c r="J26" s="120" t="s">
        <v>0</v>
      </c>
      <c r="K26" s="25"/>
      <c r="L26" s="311" t="s">
        <v>511</v>
      </c>
      <c r="M26" s="140"/>
      <c r="N26" s="120"/>
      <c r="O26" s="120"/>
      <c r="P26" s="120"/>
    </row>
    <row r="27" spans="2:16" x14ac:dyDescent="0.35">
      <c r="B27" s="3" t="s">
        <v>57</v>
      </c>
      <c r="D27" s="5">
        <v>0.99</v>
      </c>
      <c r="G27" s="3" t="s">
        <v>87</v>
      </c>
      <c r="I27" s="25">
        <f ca="1">StreamTable(250, "Mass per batch")/1000</f>
        <v>26140.217743757214</v>
      </c>
      <c r="J27" s="25">
        <f ca="1">I27*Batches_per_year</f>
        <v>313682.61292508658</v>
      </c>
      <c r="K27" s="25"/>
      <c r="L27" s="3" t="s">
        <v>560</v>
      </c>
    </row>
    <row r="28" spans="2:16" x14ac:dyDescent="0.35">
      <c r="B28" s="3" t="s">
        <v>125</v>
      </c>
      <c r="D28" s="360">
        <v>5</v>
      </c>
      <c r="E28" t="s">
        <v>126</v>
      </c>
      <c r="G28" s="3" t="s">
        <v>435</v>
      </c>
      <c r="I28" s="25">
        <f ca="1">StreamTable(450, "Mass per batch")/1000</f>
        <v>903.57301310143907</v>
      </c>
      <c r="J28" s="25">
        <f ca="1">I28*Batches_per_year</f>
        <v>10842.87615721727</v>
      </c>
      <c r="K28" s="25"/>
      <c r="L28" s="3" t="s">
        <v>512</v>
      </c>
    </row>
    <row r="29" spans="2:16" x14ac:dyDescent="0.35">
      <c r="G29" s="3" t="s">
        <v>56</v>
      </c>
      <c r="I29" s="25">
        <f ca="1">StreamTable(650, "Mass per batch")/1000</f>
        <v>2504.2582064731369</v>
      </c>
      <c r="J29" s="25">
        <f ca="1">I29*Batches_per_year</f>
        <v>30051.098477677642</v>
      </c>
      <c r="K29" s="25"/>
      <c r="L29" s="312" t="s">
        <v>559</v>
      </c>
    </row>
    <row r="30" spans="2:16" x14ac:dyDescent="0.35">
      <c r="I30" s="48"/>
      <c r="J30" s="2"/>
      <c r="K30" s="2"/>
      <c r="L30" s="25"/>
    </row>
    <row r="31" spans="2:16" x14ac:dyDescent="0.35">
      <c r="I31" s="48"/>
      <c r="J31" s="2"/>
      <c r="K31" s="2"/>
      <c r="L31" s="25"/>
    </row>
    <row r="32" spans="2:16" x14ac:dyDescent="0.35">
      <c r="J32" s="48"/>
      <c r="K32" s="2"/>
      <c r="L32" s="25"/>
    </row>
    <row r="33" spans="1:25" x14ac:dyDescent="0.35">
      <c r="J33" s="48"/>
      <c r="K33" s="2"/>
      <c r="L33" s="25"/>
    </row>
    <row r="34" spans="1:25" x14ac:dyDescent="0.35">
      <c r="J34" s="48"/>
      <c r="K34" s="2"/>
      <c r="L34" s="25"/>
    </row>
    <row r="35" spans="1:25" x14ac:dyDescent="0.35">
      <c r="P35" s="48"/>
      <c r="R35" s="25"/>
    </row>
    <row r="36" spans="1:25" x14ac:dyDescent="0.35">
      <c r="P36" s="48"/>
      <c r="R36" s="25"/>
    </row>
    <row r="37" spans="1:25" x14ac:dyDescent="0.35">
      <c r="P37" s="48"/>
      <c r="Q37" s="2"/>
      <c r="R37" s="25"/>
    </row>
    <row r="38" spans="1:25" x14ac:dyDescent="0.35">
      <c r="P38" s="48"/>
      <c r="Q38" s="2"/>
      <c r="R38" s="25"/>
    </row>
    <row r="40" spans="1:25" s="136" customFormat="1" ht="21" x14ac:dyDescent="0.5">
      <c r="A40" s="137" t="s">
        <v>114</v>
      </c>
    </row>
    <row r="41" spans="1:25" x14ac:dyDescent="0.35">
      <c r="D41" s="19"/>
      <c r="K41" s="2"/>
      <c r="L41" s="2"/>
      <c r="P41" s="2"/>
    </row>
    <row r="42" spans="1:25" x14ac:dyDescent="0.35">
      <c r="B42" s="355"/>
      <c r="C42" s="355"/>
      <c r="D42" s="355"/>
      <c r="E42" s="355"/>
      <c r="F42" s="355"/>
      <c r="G42" s="356"/>
      <c r="H42" s="355"/>
      <c r="I42" s="356"/>
      <c r="J42" s="355"/>
      <c r="K42" s="356"/>
      <c r="L42" s="356"/>
      <c r="M42" s="355"/>
      <c r="N42" s="356"/>
      <c r="O42" s="355"/>
      <c r="P42" s="356"/>
      <c r="Q42" s="357"/>
      <c r="R42" s="357"/>
      <c r="S42" s="356"/>
      <c r="T42" s="355"/>
      <c r="U42" s="355"/>
      <c r="V42" s="356"/>
      <c r="Y42" s="2"/>
    </row>
    <row r="43" spans="1:25" ht="18.5" x14ac:dyDescent="0.45">
      <c r="A43" s="127"/>
      <c r="B43" s="311" t="s">
        <v>1</v>
      </c>
      <c r="C43" s="320"/>
      <c r="D43" s="341"/>
      <c r="E43" s="340">
        <v>5</v>
      </c>
      <c r="F43" s="358">
        <v>10</v>
      </c>
      <c r="G43" s="340">
        <v>100</v>
      </c>
      <c r="H43" s="358">
        <v>105</v>
      </c>
      <c r="I43" s="340">
        <v>200</v>
      </c>
      <c r="J43" s="340">
        <v>205</v>
      </c>
      <c r="K43" s="358">
        <v>250</v>
      </c>
      <c r="L43" s="340">
        <v>300</v>
      </c>
      <c r="M43" s="358">
        <v>350</v>
      </c>
      <c r="N43" s="340">
        <v>400</v>
      </c>
      <c r="O43" s="358">
        <v>450</v>
      </c>
      <c r="P43" s="340">
        <v>500</v>
      </c>
      <c r="Q43" s="340">
        <v>550</v>
      </c>
      <c r="R43" s="359">
        <v>555</v>
      </c>
      <c r="S43" s="340">
        <v>600</v>
      </c>
      <c r="T43" s="340">
        <v>605</v>
      </c>
      <c r="U43" s="358">
        <v>650</v>
      </c>
      <c r="V43" s="358">
        <v>700</v>
      </c>
    </row>
    <row r="44" spans="1:25" x14ac:dyDescent="0.35">
      <c r="A44" s="127"/>
      <c r="B44" s="36"/>
      <c r="C44" s="37"/>
      <c r="D44" s="342"/>
      <c r="F44" s="127"/>
      <c r="H44" s="127"/>
      <c r="K44" s="127"/>
      <c r="M44" s="127"/>
      <c r="O44" s="127"/>
      <c r="R44" s="127"/>
      <c r="U44" s="127"/>
      <c r="V44" s="277"/>
    </row>
    <row r="45" spans="1:25" x14ac:dyDescent="0.35">
      <c r="A45" s="127"/>
      <c r="B45" s="36" t="s">
        <v>106</v>
      </c>
      <c r="C45" s="37"/>
      <c r="D45" s="343" t="s">
        <v>5</v>
      </c>
      <c r="E45" t="s">
        <v>102</v>
      </c>
      <c r="F45" s="127"/>
      <c r="G45" t="s">
        <v>432</v>
      </c>
      <c r="H45" s="127"/>
      <c r="I45" t="s">
        <v>103</v>
      </c>
      <c r="K45" s="127"/>
      <c r="L45" t="s">
        <v>433</v>
      </c>
      <c r="M45" s="127"/>
      <c r="N45" t="s">
        <v>434</v>
      </c>
      <c r="O45" s="127"/>
      <c r="P45" t="s">
        <v>104</v>
      </c>
      <c r="R45" s="127"/>
      <c r="S45" t="s">
        <v>105</v>
      </c>
      <c r="U45" s="127"/>
      <c r="V45" s="277" t="s">
        <v>89</v>
      </c>
    </row>
    <row r="46" spans="1:25" x14ac:dyDescent="0.35">
      <c r="A46" s="127"/>
      <c r="B46" s="36" t="s">
        <v>78</v>
      </c>
      <c r="C46" s="37"/>
      <c r="D46" s="343" t="s">
        <v>5</v>
      </c>
      <c r="E46" s="38" t="s">
        <v>40</v>
      </c>
      <c r="F46" s="255" t="s">
        <v>40</v>
      </c>
      <c r="G46" s="38"/>
      <c r="H46" s="255" t="s">
        <v>40</v>
      </c>
      <c r="I46" s="38"/>
      <c r="J46" s="38" t="s">
        <v>40</v>
      </c>
      <c r="K46" s="255" t="s">
        <v>41</v>
      </c>
      <c r="L46" s="38"/>
      <c r="M46" s="255" t="s">
        <v>41</v>
      </c>
      <c r="N46" s="38"/>
      <c r="O46" s="255" t="s">
        <v>41</v>
      </c>
      <c r="P46" s="38"/>
      <c r="Q46" s="38" t="s">
        <v>41</v>
      </c>
      <c r="R46" s="255" t="s">
        <v>41</v>
      </c>
      <c r="S46" s="38" t="s">
        <v>42</v>
      </c>
      <c r="T46" s="38" t="s">
        <v>40</v>
      </c>
      <c r="U46" s="255" t="s">
        <v>41</v>
      </c>
      <c r="V46" s="278" t="s">
        <v>41</v>
      </c>
    </row>
    <row r="47" spans="1:25" x14ac:dyDescent="0.35">
      <c r="A47" s="127"/>
      <c r="B47" s="6" t="s">
        <v>4</v>
      </c>
      <c r="C47" s="6"/>
      <c r="D47" s="127" t="s">
        <v>5</v>
      </c>
      <c r="E47" s="7" t="s">
        <v>79</v>
      </c>
      <c r="F47" s="256" t="s">
        <v>79</v>
      </c>
      <c r="G47" s="17" t="s">
        <v>79</v>
      </c>
      <c r="H47" s="256" t="s">
        <v>79</v>
      </c>
      <c r="I47" s="17" t="s">
        <v>79</v>
      </c>
      <c r="J47" s="17" t="s">
        <v>80</v>
      </c>
      <c r="K47" s="256" t="s">
        <v>80</v>
      </c>
      <c r="L47" s="17" t="s">
        <v>79</v>
      </c>
      <c r="M47" s="256" t="s">
        <v>79</v>
      </c>
      <c r="N47" s="17" t="s">
        <v>79</v>
      </c>
      <c r="O47" s="256" t="s">
        <v>80</v>
      </c>
      <c r="P47" s="17" t="s">
        <v>81</v>
      </c>
      <c r="Q47" s="17" t="s">
        <v>79</v>
      </c>
      <c r="R47" s="256" t="s">
        <v>79</v>
      </c>
      <c r="S47" s="7" t="s">
        <v>81</v>
      </c>
      <c r="T47" s="7" t="s">
        <v>80</v>
      </c>
      <c r="U47" s="132" t="s">
        <v>80</v>
      </c>
      <c r="V47" s="218" t="s">
        <v>82</v>
      </c>
    </row>
    <row r="48" spans="1:25" x14ac:dyDescent="0.35">
      <c r="A48" s="127"/>
      <c r="B48" s="331"/>
      <c r="C48" s="125"/>
      <c r="D48" s="128"/>
      <c r="E48" s="332"/>
      <c r="F48" s="333"/>
      <c r="G48" s="334"/>
      <c r="H48" s="333"/>
      <c r="I48" s="334"/>
      <c r="J48" s="334"/>
      <c r="K48" s="333"/>
      <c r="L48" s="334"/>
      <c r="M48" s="333"/>
      <c r="N48" s="334"/>
      <c r="O48" s="333"/>
      <c r="P48" s="334"/>
      <c r="Q48" s="334"/>
      <c r="R48" s="333"/>
      <c r="S48" s="332"/>
      <c r="T48" s="332"/>
      <c r="U48" s="335"/>
      <c r="V48" s="336"/>
    </row>
    <row r="49" spans="1:24" x14ac:dyDescent="0.35">
      <c r="A49" s="127"/>
      <c r="B49" s="35" t="s">
        <v>2</v>
      </c>
      <c r="C49" s="35"/>
      <c r="D49" s="275" t="s">
        <v>3</v>
      </c>
      <c r="E49" s="330">
        <v>2</v>
      </c>
      <c r="F49" s="329">
        <v>2</v>
      </c>
      <c r="G49" s="16"/>
      <c r="H49" s="329">
        <v>2</v>
      </c>
      <c r="I49" s="330">
        <v>1</v>
      </c>
      <c r="J49" s="328">
        <v>40</v>
      </c>
      <c r="K49" s="329">
        <v>20</v>
      </c>
      <c r="M49" s="272"/>
      <c r="N49" s="16"/>
      <c r="O49" s="272"/>
      <c r="P49" s="16"/>
      <c r="Q49" s="16"/>
      <c r="R49" s="272"/>
      <c r="S49" s="39"/>
      <c r="T49" s="39"/>
      <c r="U49" s="276"/>
      <c r="V49" s="279"/>
    </row>
    <row r="50" spans="1:24" x14ac:dyDescent="0.35">
      <c r="A50" s="127"/>
      <c r="B50" s="35" t="s">
        <v>188</v>
      </c>
      <c r="C50" s="35"/>
      <c r="D50" s="275" t="s">
        <v>135</v>
      </c>
      <c r="E50" s="199">
        <v>35</v>
      </c>
      <c r="F50" s="200">
        <v>35</v>
      </c>
      <c r="G50" s="16"/>
      <c r="H50" s="200">
        <v>30</v>
      </c>
      <c r="I50" s="199">
        <v>30</v>
      </c>
      <c r="J50" s="112">
        <v>6</v>
      </c>
      <c r="K50" s="200">
        <v>1</v>
      </c>
      <c r="M50" s="272"/>
      <c r="N50" s="16"/>
      <c r="O50" s="272"/>
      <c r="P50" s="16"/>
      <c r="Q50" s="16"/>
      <c r="R50" s="272"/>
      <c r="S50" s="39"/>
      <c r="T50" s="39"/>
      <c r="U50" s="276"/>
      <c r="V50" s="279"/>
    </row>
    <row r="51" spans="1:24" x14ac:dyDescent="0.35">
      <c r="A51" s="127"/>
      <c r="B51" s="8" t="s">
        <v>6</v>
      </c>
      <c r="C51" s="8"/>
      <c r="D51" s="164" t="s">
        <v>65</v>
      </c>
      <c r="E51" s="98">
        <v>1330</v>
      </c>
      <c r="F51" s="257">
        <v>1005</v>
      </c>
      <c r="G51" s="98">
        <v>1000</v>
      </c>
      <c r="H51" s="257">
        <v>1000</v>
      </c>
      <c r="I51" s="98">
        <v>1000</v>
      </c>
      <c r="J51" s="108">
        <f>D105</f>
        <v>1.2238784507410516</v>
      </c>
      <c r="K51" s="265">
        <f>J51</f>
        <v>1.2238784507410516</v>
      </c>
      <c r="L51" s="98">
        <v>1000</v>
      </c>
      <c r="M51" s="257">
        <v>1000</v>
      </c>
      <c r="N51" s="98">
        <v>1000</v>
      </c>
      <c r="O51" s="98">
        <v>1000</v>
      </c>
      <c r="P51" s="98">
        <v>1000</v>
      </c>
      <c r="Q51" s="97">
        <v>1000</v>
      </c>
      <c r="R51" s="257">
        <v>1000</v>
      </c>
      <c r="S51" s="98">
        <v>1000</v>
      </c>
      <c r="T51" s="98">
        <v>1000</v>
      </c>
      <c r="U51" s="98">
        <v>1000</v>
      </c>
      <c r="V51" s="280">
        <v>1000</v>
      </c>
    </row>
    <row r="52" spans="1:24" x14ac:dyDescent="0.35">
      <c r="A52" s="127"/>
      <c r="B52" s="337"/>
      <c r="C52" s="338"/>
      <c r="D52" s="344"/>
      <c r="E52" s="334"/>
      <c r="F52" s="333"/>
      <c r="G52" s="334"/>
      <c r="H52" s="333"/>
      <c r="I52" s="334"/>
      <c r="J52" s="334"/>
      <c r="K52" s="333"/>
      <c r="L52" s="334"/>
      <c r="M52" s="333"/>
      <c r="N52" s="334"/>
      <c r="O52" s="333"/>
      <c r="P52" s="334"/>
      <c r="Q52" s="334"/>
      <c r="R52" s="333"/>
      <c r="S52" s="334"/>
      <c r="T52" s="334"/>
      <c r="U52" s="333"/>
      <c r="V52" s="339"/>
    </row>
    <row r="53" spans="1:24" x14ac:dyDescent="0.35">
      <c r="A53" s="127"/>
      <c r="B53" s="61" t="s">
        <v>136</v>
      </c>
      <c r="C53" s="62"/>
      <c r="D53" s="345" t="s">
        <v>44</v>
      </c>
      <c r="E53" s="63">
        <f t="shared" ref="E53:V53" si="5">E56/E51</f>
        <v>31.984871404622961</v>
      </c>
      <c r="F53" s="258">
        <f t="shared" si="5"/>
        <v>3144.6494410962105</v>
      </c>
      <c r="G53" s="63">
        <f t="shared" si="5"/>
        <v>3202.9125672698397</v>
      </c>
      <c r="H53" s="258">
        <f t="shared" si="5"/>
        <v>351.62585053067659</v>
      </c>
      <c r="I53" s="63">
        <f t="shared" si="5"/>
        <v>3554.5384178005161</v>
      </c>
      <c r="J53" s="63">
        <f t="shared" si="5"/>
        <v>21327230.506803095</v>
      </c>
      <c r="K53" s="258">
        <f t="shared" si="5"/>
        <v>21358508.05112996</v>
      </c>
      <c r="L53" s="63">
        <f t="shared" si="5"/>
        <v>3516.2585053067664</v>
      </c>
      <c r="M53" s="258">
        <f t="shared" si="5"/>
        <v>351.62585053067698</v>
      </c>
      <c r="N53" s="63">
        <f t="shared" si="5"/>
        <v>3164.6326547760896</v>
      </c>
      <c r="O53" s="258">
        <f t="shared" si="5"/>
        <v>903.57301310143907</v>
      </c>
      <c r="P53" s="63">
        <f t="shared" si="5"/>
        <v>2261.0596416746507</v>
      </c>
      <c r="Q53" s="63">
        <f t="shared" si="5"/>
        <v>42.777345080524547</v>
      </c>
      <c r="R53" s="258">
        <f t="shared" si="5"/>
        <v>1704.1188657888879</v>
      </c>
      <c r="S53" s="63">
        <f t="shared" si="5"/>
        <v>514.16343080523848</v>
      </c>
      <c r="T53" s="63">
        <f t="shared" si="5"/>
        <v>2086.8818387276137</v>
      </c>
      <c r="U53" s="63">
        <f t="shared" si="5"/>
        <v>2504.2582064731369</v>
      </c>
      <c r="V53" s="282">
        <f t="shared" si="5"/>
        <v>96.787063059715749</v>
      </c>
    </row>
    <row r="54" spans="1:24" x14ac:dyDescent="0.35">
      <c r="A54" s="127"/>
      <c r="B54" s="8"/>
      <c r="C54" s="8"/>
      <c r="D54" s="164"/>
      <c r="E54" s="17"/>
      <c r="F54" s="256"/>
      <c r="G54" s="17"/>
      <c r="H54" s="256"/>
      <c r="I54" s="17"/>
      <c r="J54" s="17"/>
      <c r="K54" s="256"/>
      <c r="L54" s="17"/>
      <c r="M54" s="256"/>
      <c r="N54" s="17"/>
      <c r="O54" s="256"/>
      <c r="P54" s="17"/>
      <c r="Q54" s="17"/>
      <c r="R54" s="256"/>
      <c r="S54" s="17"/>
      <c r="T54" s="17"/>
      <c r="U54" s="256"/>
      <c r="V54" s="281"/>
    </row>
    <row r="55" spans="1:24" x14ac:dyDescent="0.35">
      <c r="A55" s="127"/>
      <c r="B55" s="6"/>
      <c r="C55" s="6"/>
      <c r="D55" s="127"/>
      <c r="E55" s="7"/>
      <c r="F55" s="256"/>
      <c r="G55" s="17"/>
      <c r="H55" s="256"/>
      <c r="I55" s="17"/>
      <c r="J55" s="17"/>
      <c r="K55" s="256"/>
      <c r="L55" s="17"/>
      <c r="M55" s="256"/>
      <c r="N55" s="17"/>
      <c r="O55" s="256"/>
      <c r="P55" s="17"/>
      <c r="Q55" s="17"/>
      <c r="R55" s="265"/>
      <c r="S55" s="7"/>
      <c r="T55" s="7"/>
      <c r="U55" s="132"/>
      <c r="V55" s="218"/>
    </row>
    <row r="56" spans="1:24" x14ac:dyDescent="0.35">
      <c r="A56" s="127"/>
      <c r="B56" s="28" t="s">
        <v>160</v>
      </c>
      <c r="C56" s="28"/>
      <c r="D56" s="346" t="s">
        <v>83</v>
      </c>
      <c r="E56" s="41">
        <f>E60/I104</f>
        <v>42539.878968148536</v>
      </c>
      <c r="F56" s="259">
        <f>SUM(F57:F75)</f>
        <v>3160372.6883016913</v>
      </c>
      <c r="G56" s="40">
        <f>SUM(G57:G75)</f>
        <v>3202912.5672698398</v>
      </c>
      <c r="H56" s="259">
        <f>SUM(H57:H75)</f>
        <v>351625.8505306766</v>
      </c>
      <c r="I56" s="40">
        <f>SUM(I57:I75)</f>
        <v>3554538.4178005159</v>
      </c>
      <c r="J56" s="41">
        <f>D110</f>
        <v>26101937.831263468</v>
      </c>
      <c r="K56" s="259">
        <f>SUM(K57:K75)</f>
        <v>26140217.743757214</v>
      </c>
      <c r="L56" s="40">
        <f>SUM(L57:L75)</f>
        <v>3516258.5053067664</v>
      </c>
      <c r="M56" s="259">
        <f>L56-N56</f>
        <v>351625.85053067701</v>
      </c>
      <c r="N56" s="40">
        <f t="shared" ref="N56:S56" si="6">SUM(N57:N75)</f>
        <v>3164632.6547760894</v>
      </c>
      <c r="O56" s="259">
        <f t="shared" si="6"/>
        <v>903573.01310143911</v>
      </c>
      <c r="P56" s="40">
        <f t="shared" si="6"/>
        <v>2261059.6416746508</v>
      </c>
      <c r="Q56" s="40">
        <f t="shared" si="6"/>
        <v>42777.345080524545</v>
      </c>
      <c r="R56" s="259">
        <f t="shared" si="6"/>
        <v>1704118.865788888</v>
      </c>
      <c r="S56" s="40">
        <f t="shared" si="6"/>
        <v>514163.43080523843</v>
      </c>
      <c r="T56" s="41">
        <f>D116</f>
        <v>2086881.8387276139</v>
      </c>
      <c r="U56" s="259">
        <f>SUM(U57:U75)</f>
        <v>2504258.2064731368</v>
      </c>
      <c r="V56" s="283">
        <f>SUM(V57:V75)</f>
        <v>96787.063059715743</v>
      </c>
    </row>
    <row r="57" spans="1:24" x14ac:dyDescent="0.35">
      <c r="A57" s="127"/>
      <c r="B57" s="9" t="s">
        <v>8</v>
      </c>
      <c r="C57" s="10"/>
      <c r="D57" s="347" t="s">
        <v>19</v>
      </c>
      <c r="E57" s="12">
        <f>E56-E60</f>
        <v>12761.963690444562</v>
      </c>
      <c r="F57" s="260">
        <f>G57-E57</f>
        <v>2965029.5640799529</v>
      </c>
      <c r="G57" s="15">
        <f>G59/I92*1000</f>
        <v>2977791.5277703973</v>
      </c>
      <c r="H57" s="265">
        <f>M57</f>
        <v>334597.05607305001</v>
      </c>
      <c r="I57" s="12">
        <f>G57+H57</f>
        <v>3312388.5838434473</v>
      </c>
      <c r="J57" s="12"/>
      <c r="K57" s="260"/>
      <c r="L57" s="15">
        <f>N57/(1-Inoculum_ratio)</f>
        <v>3345970.5607305011</v>
      </c>
      <c r="M57" s="260">
        <f>L57-N57</f>
        <v>334597.05607305001</v>
      </c>
      <c r="N57" s="15">
        <f>G57+O110</f>
        <v>3011373.5046574511</v>
      </c>
      <c r="O57" s="273">
        <f>N57*D22</f>
        <v>903412.05139723525</v>
      </c>
      <c r="P57" s="12">
        <f>N57-O57</f>
        <v>2107961.4532602159</v>
      </c>
      <c r="Q57" s="15"/>
      <c r="R57" s="260">
        <f>P57-Q57-S57</f>
        <v>1686369.1626081727</v>
      </c>
      <c r="S57" s="15">
        <f>X112</f>
        <v>421592.29065204319</v>
      </c>
      <c r="T57" s="12"/>
      <c r="U57" s="273">
        <f>D114</f>
        <v>417376.36774552276</v>
      </c>
      <c r="V57" s="284">
        <f>S57-U57</f>
        <v>4215.9229065204272</v>
      </c>
      <c r="W57" s="25"/>
      <c r="X57" s="25"/>
    </row>
    <row r="58" spans="1:24" x14ac:dyDescent="0.35">
      <c r="A58" s="127"/>
      <c r="B58" s="45"/>
      <c r="C58" s="46"/>
      <c r="D58" s="348"/>
      <c r="E58" s="43"/>
      <c r="F58" s="261"/>
      <c r="G58" s="43"/>
      <c r="H58" s="266"/>
      <c r="I58" s="43"/>
      <c r="J58" s="43"/>
      <c r="K58" s="261"/>
      <c r="L58" s="43"/>
      <c r="M58" s="261"/>
      <c r="N58" s="43"/>
      <c r="O58" s="274"/>
      <c r="P58" s="43"/>
      <c r="Q58" s="47"/>
      <c r="R58" s="261"/>
      <c r="S58" s="47"/>
      <c r="T58" s="43"/>
      <c r="U58" s="274"/>
      <c r="V58" s="285"/>
      <c r="W58" s="25"/>
      <c r="X58" s="25"/>
    </row>
    <row r="59" spans="1:24" x14ac:dyDescent="0.35">
      <c r="A59" s="127"/>
      <c r="B59" s="9" t="s">
        <v>15</v>
      </c>
      <c r="C59" s="10"/>
      <c r="D59" s="349" t="s">
        <v>5</v>
      </c>
      <c r="E59" s="11"/>
      <c r="F59" s="260">
        <f>G59</f>
        <v>89333.745833111927</v>
      </c>
      <c r="G59" s="12">
        <f>I59-H59</f>
        <v>89333.745833111927</v>
      </c>
      <c r="H59" s="265">
        <f t="shared" ref="H59:H67" si="7">M59</f>
        <v>89.423169002114449</v>
      </c>
      <c r="I59" s="15">
        <f>D97</f>
        <v>89423.169002114038</v>
      </c>
      <c r="J59" s="12"/>
      <c r="K59" s="260"/>
      <c r="L59" s="15">
        <f>I59+O92</f>
        <v>894.23169002114446</v>
      </c>
      <c r="M59" s="260">
        <f>L59*Inoculum_ratio</f>
        <v>89.423169002114449</v>
      </c>
      <c r="N59" s="15">
        <f t="shared" ref="N59:N67" si="8">G59+O92</f>
        <v>804.80852101903292</v>
      </c>
      <c r="O59" s="273">
        <f>N59*D21</f>
        <v>160.96170420380659</v>
      </c>
      <c r="P59" s="12">
        <f>N59-O59</f>
        <v>643.84681681522636</v>
      </c>
      <c r="Q59" s="15">
        <f>W94</f>
        <v>128.76936336304527</v>
      </c>
      <c r="R59" s="260">
        <f>P59-Q59-S59</f>
        <v>515.07745345218109</v>
      </c>
      <c r="S59" s="15"/>
      <c r="T59" s="12"/>
      <c r="U59" s="260"/>
      <c r="V59" s="286"/>
      <c r="W59" s="25"/>
      <c r="X59" s="25"/>
    </row>
    <row r="60" spans="1:24" x14ac:dyDescent="0.35">
      <c r="A60" s="127"/>
      <c r="B60" s="9" t="s">
        <v>9</v>
      </c>
      <c r="C60" s="10"/>
      <c r="D60" s="349" t="s">
        <v>25</v>
      </c>
      <c r="E60" s="12">
        <f>G60</f>
        <v>29777.915277703974</v>
      </c>
      <c r="F60" s="260"/>
      <c r="G60" s="15">
        <f t="shared" ref="G60:G67" si="9">$G$59*J93</f>
        <v>29777.915277703974</v>
      </c>
      <c r="H60" s="265">
        <f t="shared" si="7"/>
        <v>29.807723000705039</v>
      </c>
      <c r="I60" s="12">
        <f t="shared" ref="I60:I67" si="10">G60+H60</f>
        <v>29807.723000704678</v>
      </c>
      <c r="J60" s="12"/>
      <c r="K60" s="260"/>
      <c r="L60" s="15">
        <f t="shared" ref="L60:L67" si="11">N60/(1-Inoculum_ratio)</f>
        <v>298.07723000705056</v>
      </c>
      <c r="M60" s="260">
        <f t="shared" ref="M60:M67" si="12">L60-N60</f>
        <v>29.807723000705039</v>
      </c>
      <c r="N60" s="15">
        <f t="shared" si="8"/>
        <v>268.26950700634552</v>
      </c>
      <c r="O60" s="260"/>
      <c r="P60" s="12">
        <f t="shared" ref="P60:P67" si="13">N60</f>
        <v>268.26950700634552</v>
      </c>
      <c r="Q60" s="15"/>
      <c r="R60" s="260">
        <f>P60-Q60-S60</f>
        <v>214.61560560507641</v>
      </c>
      <c r="S60" s="15">
        <f>X95</f>
        <v>53.65390140126911</v>
      </c>
      <c r="T60" s="12"/>
      <c r="U60" s="260"/>
      <c r="V60" s="287">
        <f>S60</f>
        <v>53.65390140126911</v>
      </c>
      <c r="W60" s="25"/>
      <c r="X60" s="25"/>
    </row>
    <row r="61" spans="1:24" x14ac:dyDescent="0.35">
      <c r="A61" s="127"/>
      <c r="B61" s="9" t="s">
        <v>10</v>
      </c>
      <c r="C61" s="10"/>
      <c r="D61" s="349" t="s">
        <v>5</v>
      </c>
      <c r="E61" s="11"/>
      <c r="F61" s="260">
        <f t="shared" ref="F61:F67" si="14">G61</f>
        <v>29777.915277703974</v>
      </c>
      <c r="G61" s="15">
        <f t="shared" si="9"/>
        <v>29777.915277703974</v>
      </c>
      <c r="H61" s="265">
        <f t="shared" si="7"/>
        <v>29.807723000705039</v>
      </c>
      <c r="I61" s="12">
        <f t="shared" si="10"/>
        <v>29807.723000704678</v>
      </c>
      <c r="J61" s="12"/>
      <c r="K61" s="260"/>
      <c r="L61" s="15">
        <f t="shared" si="11"/>
        <v>298.07723000705056</v>
      </c>
      <c r="M61" s="260">
        <f t="shared" si="12"/>
        <v>29.807723000705039</v>
      </c>
      <c r="N61" s="15">
        <f t="shared" si="8"/>
        <v>268.26950700634552</v>
      </c>
      <c r="O61" s="260"/>
      <c r="P61" s="12">
        <f t="shared" si="13"/>
        <v>268.26950700634552</v>
      </c>
      <c r="Q61" s="15">
        <f>W96</f>
        <v>134.13475350317276</v>
      </c>
      <c r="R61" s="260">
        <f>P61-Q61-S61</f>
        <v>134.13475350317276</v>
      </c>
      <c r="S61" s="15"/>
      <c r="T61" s="12"/>
      <c r="U61" s="260"/>
      <c r="V61" s="286"/>
      <c r="W61" s="25"/>
      <c r="X61" s="25"/>
    </row>
    <row r="62" spans="1:24" x14ac:dyDescent="0.35">
      <c r="A62" s="127"/>
      <c r="B62" s="9" t="s">
        <v>11</v>
      </c>
      <c r="C62" s="10"/>
      <c r="D62" s="349" t="s">
        <v>5</v>
      </c>
      <c r="E62" s="11"/>
      <c r="F62" s="260">
        <f t="shared" si="14"/>
        <v>29777.915277703974</v>
      </c>
      <c r="G62" s="15">
        <f t="shared" si="9"/>
        <v>29777.915277703974</v>
      </c>
      <c r="H62" s="265">
        <f t="shared" si="7"/>
        <v>29.807723000705039</v>
      </c>
      <c r="I62" s="12">
        <f t="shared" si="10"/>
        <v>29807.723000704678</v>
      </c>
      <c r="J62" s="12"/>
      <c r="K62" s="260"/>
      <c r="L62" s="15">
        <f t="shared" si="11"/>
        <v>298.07723000705056</v>
      </c>
      <c r="M62" s="260">
        <f t="shared" si="12"/>
        <v>29.807723000705039</v>
      </c>
      <c r="N62" s="15">
        <f t="shared" si="8"/>
        <v>268.26950700634552</v>
      </c>
      <c r="O62" s="260"/>
      <c r="P62" s="12">
        <f t="shared" si="13"/>
        <v>268.26950700634552</v>
      </c>
      <c r="Q62" s="15">
        <f>W97</f>
        <v>134.13475350317276</v>
      </c>
      <c r="R62" s="260">
        <f t="shared" ref="R62:R67" si="15">P62-Q62-S62</f>
        <v>134.13475350317276</v>
      </c>
      <c r="S62" s="15"/>
      <c r="T62" s="12"/>
      <c r="U62" s="260"/>
      <c r="V62" s="286"/>
      <c r="W62" s="25"/>
      <c r="X62" s="25"/>
    </row>
    <row r="63" spans="1:24" x14ac:dyDescent="0.35">
      <c r="A63" s="127"/>
      <c r="B63" s="9" t="s">
        <v>12</v>
      </c>
      <c r="C63" s="10"/>
      <c r="D63" s="349" t="s">
        <v>5</v>
      </c>
      <c r="E63" s="11"/>
      <c r="F63" s="260">
        <f t="shared" si="14"/>
        <v>29777.915277703974</v>
      </c>
      <c r="G63" s="15">
        <f t="shared" si="9"/>
        <v>29777.915277703974</v>
      </c>
      <c r="H63" s="265">
        <f t="shared" si="7"/>
        <v>29.807723000705039</v>
      </c>
      <c r="I63" s="12">
        <f t="shared" si="10"/>
        <v>29807.723000704678</v>
      </c>
      <c r="J63" s="12"/>
      <c r="K63" s="260"/>
      <c r="L63" s="15">
        <f t="shared" si="11"/>
        <v>298.07723000705056</v>
      </c>
      <c r="M63" s="260">
        <f t="shared" si="12"/>
        <v>29.807723000705039</v>
      </c>
      <c r="N63" s="15">
        <f t="shared" si="8"/>
        <v>268.26950700634552</v>
      </c>
      <c r="O63" s="260"/>
      <c r="P63" s="12">
        <f t="shared" si="13"/>
        <v>268.26950700634552</v>
      </c>
      <c r="Q63" s="15">
        <f>W98</f>
        <v>134.13475350317276</v>
      </c>
      <c r="R63" s="260">
        <f t="shared" si="15"/>
        <v>134.13475350317276</v>
      </c>
      <c r="S63" s="15"/>
      <c r="T63" s="12"/>
      <c r="U63" s="260"/>
      <c r="V63" s="286"/>
      <c r="W63" s="25"/>
      <c r="X63" s="25"/>
    </row>
    <row r="64" spans="1:24" x14ac:dyDescent="0.35">
      <c r="A64" s="127"/>
      <c r="B64" s="9" t="s">
        <v>16</v>
      </c>
      <c r="C64" s="10"/>
      <c r="D64" s="350" t="s">
        <v>30</v>
      </c>
      <c r="E64" s="12"/>
      <c r="F64" s="260">
        <f t="shared" si="14"/>
        <v>2382.2332222163182</v>
      </c>
      <c r="G64" s="15">
        <f t="shared" si="9"/>
        <v>2382.2332222163182</v>
      </c>
      <c r="H64" s="265">
        <f t="shared" si="7"/>
        <v>2.3846178400564071</v>
      </c>
      <c r="I64" s="12">
        <f t="shared" si="10"/>
        <v>2384.6178400563745</v>
      </c>
      <c r="J64" s="12"/>
      <c r="K64" s="260"/>
      <c r="L64" s="15">
        <f t="shared" si="11"/>
        <v>23.846178400564085</v>
      </c>
      <c r="M64" s="260">
        <f t="shared" si="12"/>
        <v>2.3846178400564071</v>
      </c>
      <c r="N64" s="15">
        <f t="shared" si="8"/>
        <v>21.461560560507678</v>
      </c>
      <c r="O64" s="260"/>
      <c r="P64" s="12">
        <f t="shared" si="13"/>
        <v>21.461560560507678</v>
      </c>
      <c r="Q64" s="15">
        <f>W99</f>
        <v>8.5846242242030719</v>
      </c>
      <c r="R64" s="260">
        <f t="shared" si="15"/>
        <v>12.876936336304606</v>
      </c>
      <c r="S64" s="15"/>
      <c r="T64" s="12"/>
      <c r="U64" s="260"/>
      <c r="V64" s="286"/>
      <c r="W64" s="25"/>
      <c r="X64" s="25"/>
    </row>
    <row r="65" spans="1:24" x14ac:dyDescent="0.35">
      <c r="A65" s="127"/>
      <c r="B65" s="14" t="s">
        <v>26</v>
      </c>
      <c r="C65" s="6"/>
      <c r="D65" s="351" t="s">
        <v>13</v>
      </c>
      <c r="E65" s="11"/>
      <c r="F65" s="260">
        <f t="shared" si="14"/>
        <v>1191.1166111081591</v>
      </c>
      <c r="G65" s="15">
        <f t="shared" si="9"/>
        <v>1191.1166111081591</v>
      </c>
      <c r="H65" s="265">
        <f t="shared" si="7"/>
        <v>1.1923089200282035</v>
      </c>
      <c r="I65" s="12">
        <f t="shared" si="10"/>
        <v>1192.3089200281872</v>
      </c>
      <c r="J65" s="12"/>
      <c r="K65" s="260"/>
      <c r="L65" s="15">
        <f t="shared" si="11"/>
        <v>11.923089200282043</v>
      </c>
      <c r="M65" s="260">
        <f t="shared" si="12"/>
        <v>1.1923089200282035</v>
      </c>
      <c r="N65" s="15">
        <f t="shared" si="8"/>
        <v>10.730780280253839</v>
      </c>
      <c r="O65" s="260"/>
      <c r="P65" s="12">
        <f t="shared" si="13"/>
        <v>10.730780280253839</v>
      </c>
      <c r="Q65" s="15"/>
      <c r="R65" s="260">
        <f t="shared" si="15"/>
        <v>8.5846242242030719</v>
      </c>
      <c r="S65" s="15">
        <f>X100</f>
        <v>2.146156056050768</v>
      </c>
      <c r="T65" s="12"/>
      <c r="U65" s="260"/>
      <c r="V65" s="287">
        <f>S65</f>
        <v>2.146156056050768</v>
      </c>
      <c r="W65" s="25"/>
      <c r="X65" s="25"/>
    </row>
    <row r="66" spans="1:24" x14ac:dyDescent="0.35">
      <c r="A66" s="127"/>
      <c r="B66" s="14" t="s">
        <v>27</v>
      </c>
      <c r="C66" s="10"/>
      <c r="D66" s="351" t="s">
        <v>14</v>
      </c>
      <c r="E66" s="11"/>
      <c r="F66" s="260">
        <f t="shared" si="14"/>
        <v>1191.1166111081591</v>
      </c>
      <c r="G66" s="15">
        <f t="shared" si="9"/>
        <v>1191.1166111081591</v>
      </c>
      <c r="H66" s="265">
        <f t="shared" si="7"/>
        <v>1.1923089200282035</v>
      </c>
      <c r="I66" s="12">
        <f t="shared" si="10"/>
        <v>1192.3089200281872</v>
      </c>
      <c r="J66" s="12"/>
      <c r="K66" s="260"/>
      <c r="L66" s="15">
        <f t="shared" si="11"/>
        <v>11.923089200282043</v>
      </c>
      <c r="M66" s="260">
        <f t="shared" si="12"/>
        <v>1.1923089200282035</v>
      </c>
      <c r="N66" s="15">
        <f t="shared" si="8"/>
        <v>10.730780280253839</v>
      </c>
      <c r="O66" s="260"/>
      <c r="P66" s="12">
        <f t="shared" si="13"/>
        <v>10.730780280253839</v>
      </c>
      <c r="Q66" s="15"/>
      <c r="R66" s="260">
        <f t="shared" si="15"/>
        <v>8.5846242242030719</v>
      </c>
      <c r="S66" s="15">
        <f>X101</f>
        <v>2.146156056050768</v>
      </c>
      <c r="T66" s="12"/>
      <c r="U66" s="260"/>
      <c r="V66" s="287">
        <f>S66</f>
        <v>2.146156056050768</v>
      </c>
      <c r="W66" s="25"/>
      <c r="X66" s="25"/>
    </row>
    <row r="67" spans="1:24" x14ac:dyDescent="0.35">
      <c r="A67" s="127"/>
      <c r="B67" s="14" t="s">
        <v>29</v>
      </c>
      <c r="C67" s="10"/>
      <c r="D67" s="351" t="s">
        <v>28</v>
      </c>
      <c r="E67" s="12"/>
      <c r="F67" s="260">
        <f t="shared" si="14"/>
        <v>11911.166111081589</v>
      </c>
      <c r="G67" s="15">
        <f t="shared" si="9"/>
        <v>11911.166111081589</v>
      </c>
      <c r="H67" s="265">
        <f t="shared" si="7"/>
        <v>1323.4629012312871</v>
      </c>
      <c r="I67" s="12">
        <f t="shared" si="10"/>
        <v>13234.629012312877</v>
      </c>
      <c r="J67" s="12"/>
      <c r="K67" s="260"/>
      <c r="L67" s="15">
        <f t="shared" si="11"/>
        <v>13234.629012312877</v>
      </c>
      <c r="M67" s="260">
        <f t="shared" si="12"/>
        <v>1323.4629012312871</v>
      </c>
      <c r="N67" s="15">
        <f t="shared" si="8"/>
        <v>11911.166111081589</v>
      </c>
      <c r="O67" s="260"/>
      <c r="P67" s="12">
        <f t="shared" si="13"/>
        <v>11911.166111081589</v>
      </c>
      <c r="Q67" s="15"/>
      <c r="R67" s="260">
        <f t="shared" si="15"/>
        <v>11911.166111081589</v>
      </c>
      <c r="S67" s="15"/>
      <c r="T67" s="12"/>
      <c r="U67" s="260"/>
      <c r="V67" s="287">
        <f>S67</f>
        <v>0</v>
      </c>
      <c r="W67" s="25"/>
      <c r="X67" s="25"/>
    </row>
    <row r="68" spans="1:24" x14ac:dyDescent="0.35">
      <c r="A68" s="127"/>
      <c r="B68" s="42"/>
      <c r="C68" s="42"/>
      <c r="D68" s="352"/>
      <c r="E68" s="44"/>
      <c r="F68" s="262"/>
      <c r="G68" s="44"/>
      <c r="H68" s="262"/>
      <c r="I68" s="44"/>
      <c r="J68" s="44"/>
      <c r="K68" s="262"/>
      <c r="L68" s="44"/>
      <c r="M68" s="262"/>
      <c r="N68" s="44"/>
      <c r="O68" s="262"/>
      <c r="P68" s="44"/>
      <c r="Q68" s="43"/>
      <c r="R68" s="261"/>
      <c r="S68" s="43"/>
      <c r="T68" s="43"/>
      <c r="U68" s="261"/>
      <c r="V68" s="288"/>
      <c r="X68" s="25"/>
    </row>
    <row r="69" spans="1:24" x14ac:dyDescent="0.35">
      <c r="A69" s="127"/>
      <c r="B69" s="9" t="s">
        <v>23</v>
      </c>
      <c r="C69" s="10"/>
      <c r="D69" s="347" t="s">
        <v>5</v>
      </c>
      <c r="E69" s="12"/>
      <c r="F69" s="260"/>
      <c r="G69" s="12"/>
      <c r="H69" s="265">
        <f>M69</f>
        <v>5099.9225590825663</v>
      </c>
      <c r="I69" s="12">
        <f>G69+H69</f>
        <v>5099.9225590825663</v>
      </c>
      <c r="J69" s="12"/>
      <c r="K69" s="260"/>
      <c r="L69" s="15">
        <f>N69/(1-Inoculum_ratio)</f>
        <v>50999.225590825663</v>
      </c>
      <c r="M69" s="260">
        <f>L69-N69</f>
        <v>5099.9225590825663</v>
      </c>
      <c r="N69" s="12">
        <f>G69+O102</f>
        <v>45899.303031743097</v>
      </c>
      <c r="O69" s="260"/>
      <c r="P69" s="12">
        <f>N69</f>
        <v>45899.303031743097</v>
      </c>
      <c r="Q69" s="15">
        <f>W104</f>
        <v>36719.442425394482</v>
      </c>
      <c r="R69" s="260"/>
      <c r="S69" s="15">
        <f>X104</f>
        <v>9179.8606063486204</v>
      </c>
      <c r="T69" s="12"/>
      <c r="U69" s="260"/>
      <c r="V69" s="287">
        <f>S69</f>
        <v>9179.8606063486204</v>
      </c>
      <c r="W69" s="25"/>
      <c r="X69" s="24"/>
    </row>
    <row r="70" spans="1:24" x14ac:dyDescent="0.35">
      <c r="A70" s="127"/>
      <c r="B70" s="9" t="s">
        <v>46</v>
      </c>
      <c r="C70" s="10"/>
      <c r="D70" s="350" t="s">
        <v>31</v>
      </c>
      <c r="E70" s="12"/>
      <c r="F70" s="260"/>
      <c r="G70" s="12"/>
      <c r="H70" s="260">
        <f>M70</f>
        <v>10391.985700627672</v>
      </c>
      <c r="I70" s="12">
        <f>L70-O103</f>
        <v>10391.985700627672</v>
      </c>
      <c r="J70" s="12"/>
      <c r="K70" s="260"/>
      <c r="L70" s="15">
        <f>N70/(1-Inoculum_ratio)</f>
        <v>103919.85700627674</v>
      </c>
      <c r="M70" s="260">
        <f>L70-N70</f>
        <v>10391.985700627672</v>
      </c>
      <c r="N70" s="12">
        <f>P71/D23</f>
        <v>93527.871305649067</v>
      </c>
      <c r="O70" s="275"/>
      <c r="P70" s="12">
        <f>N70-P71</f>
        <v>9352.7871305649023</v>
      </c>
      <c r="Q70" s="15">
        <f>W105</f>
        <v>4676.3935652824512</v>
      </c>
      <c r="R70" s="260">
        <f>P70-Q70-S70</f>
        <v>4676.3935652824512</v>
      </c>
      <c r="S70" s="15"/>
      <c r="T70" s="37"/>
      <c r="U70" s="275"/>
      <c r="V70" s="286"/>
      <c r="W70" s="25"/>
    </row>
    <row r="71" spans="1:24" x14ac:dyDescent="0.35">
      <c r="A71" s="127"/>
      <c r="B71" s="9" t="s">
        <v>24</v>
      </c>
      <c r="C71" s="10"/>
      <c r="D71" s="350" t="s">
        <v>31</v>
      </c>
      <c r="E71" s="12"/>
      <c r="F71" s="260"/>
      <c r="G71" s="12"/>
      <c r="H71" s="267"/>
      <c r="I71" s="12"/>
      <c r="J71" s="12"/>
      <c r="K71" s="260"/>
      <c r="L71" s="12"/>
      <c r="M71" s="260"/>
      <c r="N71" s="12"/>
      <c r="O71" s="260"/>
      <c r="P71" s="15">
        <f>S71/U106</f>
        <v>84175.084175084165</v>
      </c>
      <c r="Q71" s="15">
        <f>W106</f>
        <v>841.75084175084169</v>
      </c>
      <c r="R71" s="260"/>
      <c r="S71" s="12">
        <f>V71</f>
        <v>83333.333333333328</v>
      </c>
      <c r="T71" s="12"/>
      <c r="U71" s="260"/>
      <c r="V71" s="289">
        <f>D95</f>
        <v>83333.333333333328</v>
      </c>
      <c r="W71" s="25"/>
    </row>
    <row r="72" spans="1:24" x14ac:dyDescent="0.35">
      <c r="A72" s="127"/>
      <c r="B72" s="45"/>
      <c r="C72" s="46"/>
      <c r="D72" s="353"/>
      <c r="E72" s="43"/>
      <c r="F72" s="261"/>
      <c r="G72" s="43"/>
      <c r="H72" s="268"/>
      <c r="I72" s="43"/>
      <c r="J72" s="43"/>
      <c r="K72" s="261"/>
      <c r="L72" s="43"/>
      <c r="M72" s="261"/>
      <c r="N72" s="43"/>
      <c r="O72" s="261"/>
      <c r="P72" s="43"/>
      <c r="Q72" s="43"/>
      <c r="R72" s="261"/>
      <c r="S72" s="43"/>
      <c r="T72" s="43"/>
      <c r="U72" s="261"/>
      <c r="V72" s="288"/>
      <c r="W72" s="25"/>
    </row>
    <row r="73" spans="1:24" x14ac:dyDescent="0.35">
      <c r="A73" s="127"/>
      <c r="B73" s="9" t="s">
        <v>21</v>
      </c>
      <c r="C73" s="10"/>
      <c r="D73" s="347" t="s">
        <v>18</v>
      </c>
      <c r="E73" s="12"/>
      <c r="F73" s="260"/>
      <c r="G73" s="12"/>
      <c r="H73" s="267"/>
      <c r="I73" s="12"/>
      <c r="J73" s="12">
        <f>J56-J74</f>
        <v>20046288.254410341</v>
      </c>
      <c r="K73" s="260">
        <f>J73</f>
        <v>20046288.254410341</v>
      </c>
      <c r="L73" s="12"/>
      <c r="M73" s="260"/>
      <c r="N73" s="12"/>
      <c r="O73" s="260"/>
      <c r="P73" s="12"/>
      <c r="Q73" s="12"/>
      <c r="R73" s="260"/>
      <c r="S73" s="12"/>
      <c r="T73" s="12">
        <f>T56-T74</f>
        <v>1602725.2521428075</v>
      </c>
      <c r="U73" s="260">
        <f>T73</f>
        <v>1602725.2521428075</v>
      </c>
      <c r="V73" s="286"/>
    </row>
    <row r="74" spans="1:24" x14ac:dyDescent="0.35">
      <c r="A74" s="127"/>
      <c r="B74" s="9" t="s">
        <v>35</v>
      </c>
      <c r="C74" s="10"/>
      <c r="D74" s="347" t="s">
        <v>45</v>
      </c>
      <c r="E74" s="12"/>
      <c r="F74" s="260"/>
      <c r="G74" s="12"/>
      <c r="H74" s="267"/>
      <c r="I74" s="12"/>
      <c r="J74" s="12">
        <f>J56*$I$105</f>
        <v>6055649.5768531244</v>
      </c>
      <c r="K74" s="260">
        <f>J74+O107</f>
        <v>6044719.2040596576</v>
      </c>
      <c r="L74" s="12"/>
      <c r="M74" s="260"/>
      <c r="N74" s="12"/>
      <c r="O74" s="260"/>
      <c r="P74" s="12"/>
      <c r="Q74" s="12"/>
      <c r="R74" s="260"/>
      <c r="S74" s="12"/>
      <c r="T74" s="12">
        <f>T56*$I$105</f>
        <v>484156.58658480644</v>
      </c>
      <c r="U74" s="260">
        <f>T74</f>
        <v>484156.58658480644</v>
      </c>
      <c r="V74" s="286"/>
    </row>
    <row r="75" spans="1:24" x14ac:dyDescent="0.35">
      <c r="A75" s="127"/>
      <c r="B75" s="9" t="s">
        <v>20</v>
      </c>
      <c r="C75" s="10"/>
      <c r="D75" s="347" t="s">
        <v>17</v>
      </c>
      <c r="E75" s="12"/>
      <c r="F75" s="260"/>
      <c r="G75" s="12"/>
      <c r="H75" s="265"/>
      <c r="I75" s="12"/>
      <c r="J75" s="12"/>
      <c r="K75" s="260">
        <f>J75+O108</f>
        <v>49210.28528721536</v>
      </c>
      <c r="L75" s="12"/>
      <c r="M75" s="260"/>
      <c r="N75" s="12"/>
      <c r="O75" s="260"/>
      <c r="P75" s="12"/>
      <c r="Q75" s="12"/>
      <c r="R75" s="260"/>
      <c r="S75" s="12"/>
      <c r="T75" s="12"/>
      <c r="U75" s="260"/>
      <c r="V75" s="286"/>
    </row>
    <row r="76" spans="1:24" x14ac:dyDescent="0.35">
      <c r="A76" s="127"/>
      <c r="B76" s="57"/>
      <c r="C76" s="58"/>
      <c r="D76" s="354"/>
      <c r="E76" s="59"/>
      <c r="F76" s="263"/>
      <c r="G76" s="59"/>
      <c r="H76" s="269"/>
      <c r="I76" s="59"/>
      <c r="J76" s="59"/>
      <c r="K76" s="263"/>
      <c r="L76" s="59"/>
      <c r="M76" s="263"/>
      <c r="N76" s="59"/>
      <c r="O76" s="263"/>
      <c r="P76" s="59"/>
      <c r="Q76" s="59"/>
      <c r="R76" s="263"/>
      <c r="S76" s="59"/>
      <c r="T76" s="59"/>
      <c r="U76" s="263"/>
      <c r="V76" s="290"/>
    </row>
    <row r="77" spans="1:24" x14ac:dyDescent="0.35">
      <c r="A77" s="127"/>
      <c r="B77" s="92" t="s">
        <v>119</v>
      </c>
      <c r="C77" s="95"/>
      <c r="D77" s="93" t="s">
        <v>120</v>
      </c>
      <c r="E77" s="96" t="b">
        <f>SUM(E56,F56,H56,J56,T56)-SUM(K56,M56,O56,Q56,R56,U56,V56)&lt;tolerance</f>
        <v>1</v>
      </c>
      <c r="F77" s="264"/>
      <c r="G77" s="94" t="b">
        <f>G56-F56-E56&lt;tolerance</f>
        <v>1</v>
      </c>
      <c r="H77" s="270"/>
      <c r="I77" s="94" t="b">
        <f>I56-H56-G56&lt;tolerance</f>
        <v>1</v>
      </c>
      <c r="J77" s="94"/>
      <c r="K77" s="271"/>
      <c r="L77" s="94" t="b">
        <f>I56+L56-K56-J56&lt;tolerance</f>
        <v>1</v>
      </c>
      <c r="M77" s="271"/>
      <c r="N77" s="94" t="b">
        <f>N56-M56-L56&lt;tolerance</f>
        <v>1</v>
      </c>
      <c r="O77" s="271"/>
      <c r="P77" s="94" t="b">
        <f>P56-O56-N56&lt;tolerance</f>
        <v>1</v>
      </c>
      <c r="Q77" s="94"/>
      <c r="R77" s="271"/>
      <c r="S77" s="94" t="b">
        <f>P56-S56-R56-Q56&lt;tolerance</f>
        <v>1</v>
      </c>
      <c r="T77" s="94"/>
      <c r="U77" s="271"/>
      <c r="V77" s="291" t="b">
        <f>S56+V56-U56-T56&lt;tolerance</f>
        <v>1</v>
      </c>
    </row>
    <row r="78" spans="1:24" x14ac:dyDescent="0.35">
      <c r="B78" s="6"/>
      <c r="C78" s="6"/>
      <c r="D78" s="6"/>
      <c r="E78" s="12"/>
      <c r="F78" s="12"/>
      <c r="G78" s="12"/>
      <c r="H78" s="60"/>
      <c r="I78" s="12"/>
      <c r="J78" s="12"/>
      <c r="K78" s="12"/>
      <c r="L78" s="12"/>
      <c r="M78" s="12"/>
      <c r="N78" s="12"/>
      <c r="O78" s="12"/>
      <c r="P78" s="12"/>
      <c r="Q78" s="12"/>
      <c r="R78" s="12"/>
      <c r="S78" s="12"/>
      <c r="T78" s="12"/>
      <c r="U78" s="12"/>
      <c r="V78" s="35"/>
    </row>
    <row r="79" spans="1:24" x14ac:dyDescent="0.35">
      <c r="E79" s="13"/>
      <c r="F79" s="13"/>
      <c r="G79" s="13"/>
      <c r="H79" s="13"/>
      <c r="K79" s="6"/>
      <c r="M79" s="6"/>
      <c r="U79" s="6"/>
    </row>
    <row r="80" spans="1:24" x14ac:dyDescent="0.35">
      <c r="O80" s="6"/>
      <c r="P80" s="6"/>
      <c r="Q80" s="6"/>
      <c r="R80" s="6"/>
      <c r="S80" s="6"/>
      <c r="T80" s="6"/>
      <c r="U80" s="6"/>
      <c r="V80" s="6"/>
    </row>
    <row r="81" spans="1:27" x14ac:dyDescent="0.35">
      <c r="O81" s="6"/>
      <c r="P81" s="6"/>
      <c r="Q81" s="6"/>
      <c r="R81" s="6"/>
      <c r="S81" s="6"/>
      <c r="T81" s="6"/>
      <c r="U81" s="6"/>
      <c r="V81" s="6"/>
    </row>
    <row r="88" spans="1:27" s="136" customFormat="1" ht="21" x14ac:dyDescent="0.5">
      <c r="A88" s="137" t="s">
        <v>74</v>
      </c>
    </row>
    <row r="91" spans="1:27" x14ac:dyDescent="0.35">
      <c r="B91" s="28" t="s">
        <v>117</v>
      </c>
      <c r="C91" s="28"/>
      <c r="D91" s="28"/>
      <c r="E91" s="28"/>
      <c r="G91" s="28" t="s">
        <v>438</v>
      </c>
      <c r="H91" s="28"/>
      <c r="I91" s="29" t="s">
        <v>97</v>
      </c>
      <c r="J91" s="29" t="s">
        <v>98</v>
      </c>
      <c r="L91" s="28" t="s">
        <v>48</v>
      </c>
      <c r="M91" s="28"/>
      <c r="N91" s="29" t="s">
        <v>75</v>
      </c>
      <c r="O91" s="29" t="s">
        <v>101</v>
      </c>
      <c r="Q91" s="91" t="s">
        <v>510</v>
      </c>
      <c r="R91" s="66"/>
      <c r="S91" s="66"/>
      <c r="T91" s="66"/>
      <c r="U91" s="66"/>
      <c r="V91" s="66"/>
      <c r="W91" s="66"/>
      <c r="X91" s="66"/>
      <c r="Y91" s="66"/>
      <c r="Z91" s="66"/>
    </row>
    <row r="92" spans="1:27" x14ac:dyDescent="0.35">
      <c r="B92" t="s">
        <v>69</v>
      </c>
      <c r="D92" s="2">
        <f>D7/s_per_yr</f>
        <v>3.8051750380517519E-7</v>
      </c>
      <c r="E92" t="s">
        <v>68</v>
      </c>
      <c r="G92" s="9" t="s">
        <v>15</v>
      </c>
      <c r="H92" s="9"/>
      <c r="I92" s="374">
        <v>30</v>
      </c>
      <c r="J92" s="18">
        <f t="shared" ref="J92:J100" si="16">I92/$I$92</f>
        <v>1</v>
      </c>
      <c r="L92" t="s">
        <v>36</v>
      </c>
      <c r="N92" s="4">
        <v>-15</v>
      </c>
      <c r="O92" s="2">
        <f t="shared" ref="O92:O100" si="17">$O$103/$N$103*N92</f>
        <v>-88528.937312092894</v>
      </c>
      <c r="P92" s="69"/>
      <c r="Q92" s="50" t="s">
        <v>94</v>
      </c>
      <c r="R92" s="67"/>
      <c r="S92" s="73" t="s">
        <v>49</v>
      </c>
      <c r="T92" s="32" t="s">
        <v>92</v>
      </c>
      <c r="U92" s="32"/>
      <c r="V92" s="67"/>
      <c r="W92" s="32" t="s">
        <v>93</v>
      </c>
      <c r="X92" s="32"/>
      <c r="Y92" s="67"/>
      <c r="Z92" s="83" t="s">
        <v>95</v>
      </c>
    </row>
    <row r="93" spans="1:27" x14ac:dyDescent="0.35">
      <c r="B93" t="s">
        <v>113</v>
      </c>
      <c r="D93" s="2">
        <f>D6*kg_per_t/s_per_yr</f>
        <v>3.1709791983764599E-2</v>
      </c>
      <c r="E93" t="s">
        <v>62</v>
      </c>
      <c r="G93" s="9" t="s">
        <v>9</v>
      </c>
      <c r="H93" s="9"/>
      <c r="I93" s="27">
        <v>10</v>
      </c>
      <c r="J93" s="18">
        <f t="shared" si="16"/>
        <v>0.33333333333333331</v>
      </c>
      <c r="L93" t="s">
        <v>9</v>
      </c>
      <c r="N93" s="4">
        <v>-5</v>
      </c>
      <c r="O93" s="2">
        <f t="shared" si="17"/>
        <v>-29509.645770697629</v>
      </c>
      <c r="P93" s="69"/>
      <c r="Q93" s="33" t="s">
        <v>5</v>
      </c>
      <c r="R93" s="68"/>
      <c r="S93" s="74" t="s">
        <v>83</v>
      </c>
      <c r="T93" s="34" t="s">
        <v>58</v>
      </c>
      <c r="U93" s="34" t="s">
        <v>61</v>
      </c>
      <c r="V93" s="76" t="s">
        <v>60</v>
      </c>
      <c r="W93" s="34" t="s">
        <v>58</v>
      </c>
      <c r="X93" s="34" t="s">
        <v>61</v>
      </c>
      <c r="Y93" s="76" t="s">
        <v>60</v>
      </c>
      <c r="Z93" s="85" t="s">
        <v>96</v>
      </c>
      <c r="AA93" s="21"/>
    </row>
    <row r="94" spans="1:27" x14ac:dyDescent="0.35">
      <c r="D94" s="2">
        <f>Capacity*s_per_yr</f>
        <v>1000000</v>
      </c>
      <c r="E94" t="s">
        <v>370</v>
      </c>
      <c r="G94" s="9" t="s">
        <v>10</v>
      </c>
      <c r="H94" s="9"/>
      <c r="I94" s="27">
        <v>10</v>
      </c>
      <c r="J94" s="18">
        <f t="shared" si="16"/>
        <v>0.33333333333333331</v>
      </c>
      <c r="L94" t="s">
        <v>10</v>
      </c>
      <c r="N94" s="4">
        <v>-5</v>
      </c>
      <c r="O94" s="2">
        <f t="shared" si="17"/>
        <v>-29509.645770697629</v>
      </c>
      <c r="P94" s="69"/>
      <c r="Q94" t="s">
        <v>36</v>
      </c>
      <c r="R94" s="69"/>
      <c r="S94" s="75">
        <f t="shared" ref="S94:S102" si="18">P59</f>
        <v>643.84681681522636</v>
      </c>
      <c r="T94" s="30">
        <v>0.2</v>
      </c>
      <c r="U94" s="51"/>
      <c r="V94" s="77">
        <v>0.8</v>
      </c>
      <c r="W94" s="2">
        <f t="shared" ref="W94:W102" si="19">$S94*T94</f>
        <v>128.76936336304527</v>
      </c>
      <c r="X94" s="2">
        <f t="shared" ref="X94:X102" si="20">$S94*U94</f>
        <v>0</v>
      </c>
      <c r="Y94" s="82">
        <f t="shared" ref="Y94:Y102" si="21">$S94*V94</f>
        <v>515.07745345218109</v>
      </c>
      <c r="Z94" s="84" t="b">
        <f t="shared" ref="Z94:Z102" si="22">S94-W94-X94-Y94&lt;0.0001</f>
        <v>1</v>
      </c>
      <c r="AA94" s="2"/>
    </row>
    <row r="95" spans="1:27" x14ac:dyDescent="0.35">
      <c r="D95" s="2">
        <f>Capacity/Batch_rate</f>
        <v>83333.333333333328</v>
      </c>
      <c r="E95" t="s">
        <v>118</v>
      </c>
      <c r="G95" s="9" t="s">
        <v>11</v>
      </c>
      <c r="H95" s="9"/>
      <c r="I95" s="27">
        <v>10</v>
      </c>
      <c r="J95" s="18">
        <f t="shared" si="16"/>
        <v>0.33333333333333331</v>
      </c>
      <c r="L95" t="s">
        <v>37</v>
      </c>
      <c r="N95" s="4">
        <v>-5</v>
      </c>
      <c r="O95" s="2">
        <f t="shared" si="17"/>
        <v>-29509.645770697629</v>
      </c>
      <c r="P95" s="69"/>
      <c r="Q95" t="s">
        <v>9</v>
      </c>
      <c r="R95" s="69"/>
      <c r="S95" s="75">
        <f t="shared" si="18"/>
        <v>268.26950700634552</v>
      </c>
      <c r="T95" s="71"/>
      <c r="U95" s="4">
        <v>0.2</v>
      </c>
      <c r="V95" s="78">
        <v>0.8</v>
      </c>
      <c r="W95" s="2">
        <f t="shared" si="19"/>
        <v>0</v>
      </c>
      <c r="X95" s="2">
        <f t="shared" si="20"/>
        <v>53.65390140126911</v>
      </c>
      <c r="Y95" s="82">
        <f t="shared" si="21"/>
        <v>214.61560560507644</v>
      </c>
      <c r="Z95" s="84" t="b">
        <f t="shared" si="22"/>
        <v>1</v>
      </c>
      <c r="AA95" s="2"/>
    </row>
    <row r="96" spans="1:27" x14ac:dyDescent="0.35">
      <c r="B96" t="s">
        <v>115</v>
      </c>
      <c r="D96" s="48">
        <f>D12</f>
        <v>0.99</v>
      </c>
      <c r="G96" s="9" t="s">
        <v>12</v>
      </c>
      <c r="H96" s="9"/>
      <c r="I96" s="27">
        <v>10</v>
      </c>
      <c r="J96" s="18">
        <f t="shared" si="16"/>
        <v>0.33333333333333331</v>
      </c>
      <c r="L96" t="s">
        <v>34</v>
      </c>
      <c r="N96" s="4">
        <v>-5</v>
      </c>
      <c r="O96" s="2">
        <f t="shared" si="17"/>
        <v>-29509.645770697629</v>
      </c>
      <c r="P96" s="69"/>
      <c r="Q96" t="s">
        <v>10</v>
      </c>
      <c r="R96" s="69"/>
      <c r="S96" s="75">
        <f t="shared" si="18"/>
        <v>268.26950700634552</v>
      </c>
      <c r="T96" s="31">
        <v>0.5</v>
      </c>
      <c r="U96" s="52"/>
      <c r="V96" s="78">
        <v>0.5</v>
      </c>
      <c r="W96" s="2">
        <f t="shared" si="19"/>
        <v>134.13475350317276</v>
      </c>
      <c r="X96" s="2">
        <f t="shared" si="20"/>
        <v>0</v>
      </c>
      <c r="Y96" s="82">
        <f t="shared" si="21"/>
        <v>134.13475350317276</v>
      </c>
      <c r="Z96" s="84" t="b">
        <f t="shared" si="22"/>
        <v>1</v>
      </c>
      <c r="AA96" s="2"/>
    </row>
    <row r="97" spans="2:27" x14ac:dyDescent="0.35">
      <c r="B97" t="s">
        <v>116</v>
      </c>
      <c r="D97" s="2">
        <f>-O92/D96</f>
        <v>89423.169002114038</v>
      </c>
      <c r="E97" t="s">
        <v>62</v>
      </c>
      <c r="G97" s="9" t="s">
        <v>16</v>
      </c>
      <c r="H97" s="9"/>
      <c r="I97" s="27">
        <v>0.8</v>
      </c>
      <c r="J97" s="18">
        <f t="shared" si="16"/>
        <v>2.6666666666666668E-2</v>
      </c>
      <c r="L97" t="s">
        <v>32</v>
      </c>
      <c r="N97" s="4">
        <v>-0.4</v>
      </c>
      <c r="O97" s="2">
        <f t="shared" si="17"/>
        <v>-2360.7716616558105</v>
      </c>
      <c r="P97" s="69"/>
      <c r="Q97" t="s">
        <v>37</v>
      </c>
      <c r="R97" s="69"/>
      <c r="S97" s="75">
        <f t="shared" si="18"/>
        <v>268.26950700634552</v>
      </c>
      <c r="T97" s="31">
        <v>0.5</v>
      </c>
      <c r="U97" s="53"/>
      <c r="V97" s="78">
        <v>0.5</v>
      </c>
      <c r="W97" s="2">
        <f t="shared" si="19"/>
        <v>134.13475350317276</v>
      </c>
      <c r="X97" s="2">
        <f t="shared" si="20"/>
        <v>0</v>
      </c>
      <c r="Y97" s="82">
        <f t="shared" si="21"/>
        <v>134.13475350317276</v>
      </c>
      <c r="Z97" s="84" t="b">
        <f t="shared" si="22"/>
        <v>1</v>
      </c>
      <c r="AA97" s="2"/>
    </row>
    <row r="98" spans="2:27" x14ac:dyDescent="0.35">
      <c r="G98" s="14" t="s">
        <v>26</v>
      </c>
      <c r="H98" s="14"/>
      <c r="I98" s="27">
        <v>0.4</v>
      </c>
      <c r="J98" s="18">
        <f t="shared" si="16"/>
        <v>1.3333333333333334E-2</v>
      </c>
      <c r="L98" t="s">
        <v>33</v>
      </c>
      <c r="N98" s="4">
        <v>-0.2</v>
      </c>
      <c r="O98" s="2">
        <f t="shared" si="17"/>
        <v>-1180.3858308279052</v>
      </c>
      <c r="P98" s="69"/>
      <c r="Q98" s="23" t="s">
        <v>34</v>
      </c>
      <c r="R98" s="70"/>
      <c r="S98" s="75">
        <f t="shared" si="18"/>
        <v>268.26950700634552</v>
      </c>
      <c r="T98" s="31">
        <v>0.5</v>
      </c>
      <c r="U98" s="53"/>
      <c r="V98" s="78">
        <v>0.5</v>
      </c>
      <c r="W98" s="2">
        <f t="shared" si="19"/>
        <v>134.13475350317276</v>
      </c>
      <c r="X98" s="2">
        <f t="shared" si="20"/>
        <v>0</v>
      </c>
      <c r="Y98" s="82">
        <f t="shared" si="21"/>
        <v>134.13475350317276</v>
      </c>
      <c r="Z98" s="84" t="b">
        <f t="shared" si="22"/>
        <v>1</v>
      </c>
      <c r="AA98" s="2"/>
    </row>
    <row r="99" spans="2:27" x14ac:dyDescent="0.35">
      <c r="G99" s="14" t="s">
        <v>27</v>
      </c>
      <c r="H99" s="14"/>
      <c r="I99" s="27">
        <v>0.4</v>
      </c>
      <c r="J99" s="18">
        <f t="shared" si="16"/>
        <v>1.3333333333333334E-2</v>
      </c>
      <c r="L99" t="s">
        <v>14</v>
      </c>
      <c r="N99" s="4">
        <v>-0.2</v>
      </c>
      <c r="O99" s="2">
        <f t="shared" si="17"/>
        <v>-1180.3858308279052</v>
      </c>
      <c r="P99" s="69"/>
      <c r="Q99" t="s">
        <v>32</v>
      </c>
      <c r="R99" s="69"/>
      <c r="S99" s="75">
        <f t="shared" si="18"/>
        <v>21.461560560507678</v>
      </c>
      <c r="T99" s="31">
        <v>0.4</v>
      </c>
      <c r="U99" s="51"/>
      <c r="V99" s="78">
        <v>0.6</v>
      </c>
      <c r="W99" s="2">
        <f t="shared" si="19"/>
        <v>8.5846242242030719</v>
      </c>
      <c r="X99" s="2">
        <f t="shared" si="20"/>
        <v>0</v>
      </c>
      <c r="Y99" s="82">
        <f t="shared" si="21"/>
        <v>12.876936336304606</v>
      </c>
      <c r="Z99" s="84" t="b">
        <f t="shared" si="22"/>
        <v>1</v>
      </c>
      <c r="AA99" s="2"/>
    </row>
    <row r="100" spans="2:27" x14ac:dyDescent="0.35">
      <c r="B100" s="28" t="s">
        <v>122</v>
      </c>
      <c r="C100" s="28"/>
      <c r="D100" s="28"/>
      <c r="E100" s="28"/>
      <c r="G100" s="14" t="s">
        <v>29</v>
      </c>
      <c r="H100" s="14"/>
      <c r="I100" s="27">
        <v>4</v>
      </c>
      <c r="J100" s="18">
        <f t="shared" si="16"/>
        <v>0.13333333333333333</v>
      </c>
      <c r="L100" t="s">
        <v>29</v>
      </c>
      <c r="N100" s="4">
        <v>0</v>
      </c>
      <c r="O100" s="2">
        <f t="shared" si="17"/>
        <v>0</v>
      </c>
      <c r="P100" s="69"/>
      <c r="Q100" t="s">
        <v>33</v>
      </c>
      <c r="R100" s="69"/>
      <c r="S100" s="75">
        <f t="shared" si="18"/>
        <v>10.730780280253839</v>
      </c>
      <c r="T100" s="55"/>
      <c r="U100" s="4">
        <v>0.2</v>
      </c>
      <c r="V100" s="78">
        <v>0.8</v>
      </c>
      <c r="W100" s="2">
        <f t="shared" si="19"/>
        <v>0</v>
      </c>
      <c r="X100" s="2">
        <f t="shared" si="20"/>
        <v>2.146156056050768</v>
      </c>
      <c r="Y100" s="82">
        <f t="shared" si="21"/>
        <v>8.5846242242030719</v>
      </c>
      <c r="Z100" s="84" t="b">
        <f t="shared" si="22"/>
        <v>1</v>
      </c>
      <c r="AA100" s="2"/>
    </row>
    <row r="101" spans="2:27" x14ac:dyDescent="0.35">
      <c r="B101" t="s">
        <v>50</v>
      </c>
      <c r="D101" s="2">
        <f>I53</f>
        <v>3554.5384178005161</v>
      </c>
      <c r="E101" t="s">
        <v>44</v>
      </c>
      <c r="F101" s="2"/>
      <c r="O101" s="2"/>
      <c r="P101" s="69"/>
      <c r="Q101" t="s">
        <v>14</v>
      </c>
      <c r="R101" s="69"/>
      <c r="S101" s="75">
        <f t="shared" si="18"/>
        <v>10.730780280253839</v>
      </c>
      <c r="T101" s="72"/>
      <c r="U101" s="4">
        <v>0.2</v>
      </c>
      <c r="V101" s="78">
        <v>0.8</v>
      </c>
      <c r="W101" s="2">
        <f t="shared" si="19"/>
        <v>0</v>
      </c>
      <c r="X101" s="2">
        <f t="shared" si="20"/>
        <v>2.146156056050768</v>
      </c>
      <c r="Y101" s="82">
        <f t="shared" si="21"/>
        <v>8.5846242242030719</v>
      </c>
      <c r="Z101" s="84" t="b">
        <f t="shared" si="22"/>
        <v>1</v>
      </c>
      <c r="AA101" s="2"/>
    </row>
    <row r="102" spans="2:27" x14ac:dyDescent="0.35">
      <c r="B102" t="s">
        <v>99</v>
      </c>
      <c r="D102">
        <f>Fermentation_Time</f>
        <v>500</v>
      </c>
      <c r="E102" t="s">
        <v>100</v>
      </c>
      <c r="L102" t="s">
        <v>23</v>
      </c>
      <c r="N102" s="4">
        <v>7.7770000000000001</v>
      </c>
      <c r="O102" s="2">
        <f>$O$103/$N$103*N102</f>
        <v>45899.303031743097</v>
      </c>
      <c r="P102" s="69"/>
      <c r="Q102" t="s">
        <v>55</v>
      </c>
      <c r="R102" s="69"/>
      <c r="S102" s="75">
        <f t="shared" si="18"/>
        <v>11911.166111081589</v>
      </c>
      <c r="T102" s="54"/>
      <c r="U102" s="55"/>
      <c r="V102" s="78">
        <v>1</v>
      </c>
      <c r="W102" s="2">
        <f t="shared" si="19"/>
        <v>0</v>
      </c>
      <c r="X102" s="2">
        <f t="shared" si="20"/>
        <v>0</v>
      </c>
      <c r="Y102" s="82">
        <f t="shared" si="21"/>
        <v>11911.166111081589</v>
      </c>
      <c r="Z102" s="84" t="b">
        <f t="shared" si="22"/>
        <v>1</v>
      </c>
      <c r="AA102" s="2"/>
    </row>
    <row r="103" spans="2:27" x14ac:dyDescent="0.35">
      <c r="D103" s="2">
        <f>D102*s_per_h</f>
        <v>1800000</v>
      </c>
      <c r="E103" t="s">
        <v>91</v>
      </c>
      <c r="G103" s="28" t="s">
        <v>110</v>
      </c>
      <c r="H103" s="28"/>
      <c r="I103" s="28"/>
      <c r="J103" s="28"/>
      <c r="L103" t="s">
        <v>46</v>
      </c>
      <c r="N103" s="4">
        <v>15.847</v>
      </c>
      <c r="O103" s="2">
        <f>Gross_product_rate</f>
        <v>93527.871305649067</v>
      </c>
      <c r="P103" s="69"/>
      <c r="R103" s="69"/>
      <c r="S103" s="75"/>
      <c r="V103" s="69"/>
      <c r="Y103" s="69"/>
      <c r="Z103" s="84"/>
      <c r="AA103" s="2"/>
    </row>
    <row r="104" spans="2:27" x14ac:dyDescent="0.35">
      <c r="B104" t="s">
        <v>111</v>
      </c>
      <c r="D104" s="2">
        <f>MW_O2*I105+MW_N2*(1-I105)</f>
        <v>28.938288</v>
      </c>
      <c r="E104" t="s">
        <v>63</v>
      </c>
      <c r="G104" s="3" t="s">
        <v>108</v>
      </c>
      <c r="I104" s="65">
        <v>0.7</v>
      </c>
      <c r="J104" t="s">
        <v>39</v>
      </c>
      <c r="L104" t="s">
        <v>47</v>
      </c>
      <c r="N104" s="4">
        <v>0</v>
      </c>
      <c r="O104" s="2">
        <f>$O$103/$N$103*N104</f>
        <v>0</v>
      </c>
      <c r="P104" s="69"/>
      <c r="Q104" t="s">
        <v>23</v>
      </c>
      <c r="R104" s="69"/>
      <c r="S104" s="75">
        <f>P69</f>
        <v>45899.303031743097</v>
      </c>
      <c r="T104" s="31">
        <v>0.8</v>
      </c>
      <c r="U104" s="4">
        <v>0.2</v>
      </c>
      <c r="V104" s="79"/>
      <c r="W104" s="2">
        <f t="shared" ref="W104:Y106" si="23">$S104*T104</f>
        <v>36719.442425394482</v>
      </c>
      <c r="X104" s="2">
        <f t="shared" si="23"/>
        <v>9179.8606063486204</v>
      </c>
      <c r="Y104" s="82">
        <f t="shared" si="23"/>
        <v>0</v>
      </c>
      <c r="Z104" s="84" t="b">
        <f>S104-W104-X104-Y104&lt;0.0001</f>
        <v>1</v>
      </c>
      <c r="AA104" s="2"/>
    </row>
    <row r="105" spans="2:27" x14ac:dyDescent="0.35">
      <c r="B105" t="s">
        <v>431</v>
      </c>
      <c r="D105" s="2">
        <f>MW_air/scm_per_kmol</f>
        <v>1.2238784507410516</v>
      </c>
      <c r="E105" t="s">
        <v>177</v>
      </c>
      <c r="G105" s="3" t="s">
        <v>109</v>
      </c>
      <c r="I105" s="4">
        <v>0.23200000000000001</v>
      </c>
      <c r="J105" t="s">
        <v>39</v>
      </c>
      <c r="O105" s="2"/>
      <c r="P105" s="69"/>
      <c r="Q105" t="s">
        <v>22</v>
      </c>
      <c r="R105" s="69"/>
      <c r="S105" s="75">
        <f>P70</f>
        <v>9352.7871305649023</v>
      </c>
      <c r="T105" s="31">
        <v>0.5</v>
      </c>
      <c r="U105" s="51"/>
      <c r="V105" s="78">
        <v>0.5</v>
      </c>
      <c r="W105" s="2">
        <f t="shared" si="23"/>
        <v>4676.3935652824512</v>
      </c>
      <c r="X105" s="2">
        <f t="shared" si="23"/>
        <v>0</v>
      </c>
      <c r="Y105" s="82">
        <f t="shared" si="23"/>
        <v>4676.3935652824512</v>
      </c>
      <c r="Z105" s="84" t="b">
        <f>S105-W105-X105-Y105&lt;0.0001</f>
        <v>1</v>
      </c>
      <c r="AA105" s="2"/>
    </row>
    <row r="106" spans="2:27" x14ac:dyDescent="0.35">
      <c r="B106" t="s">
        <v>112</v>
      </c>
      <c r="D106" s="2">
        <f>D13</f>
        <v>0.2</v>
      </c>
      <c r="E106" t="s">
        <v>52</v>
      </c>
      <c r="L106" t="s">
        <v>21</v>
      </c>
      <c r="N106" s="4">
        <v>0</v>
      </c>
      <c r="O106" s="2">
        <f>$O$103/$N$103*N106</f>
        <v>0</v>
      </c>
      <c r="P106" s="69"/>
      <c r="Q106" t="s">
        <v>24</v>
      </c>
      <c r="R106" s="69"/>
      <c r="S106" s="75">
        <f>P71</f>
        <v>84175.084175084165</v>
      </c>
      <c r="T106" s="31">
        <v>0.01</v>
      </c>
      <c r="U106" s="4">
        <v>0.99</v>
      </c>
      <c r="V106" s="80"/>
      <c r="W106" s="2">
        <f t="shared" si="23"/>
        <v>841.75084175084169</v>
      </c>
      <c r="X106" s="2">
        <f t="shared" si="23"/>
        <v>83333.333333333328</v>
      </c>
      <c r="Y106" s="82">
        <f t="shared" si="23"/>
        <v>0</v>
      </c>
      <c r="Z106" s="84" t="b">
        <f>S106-W106-X106-Y106&lt;0.0001</f>
        <v>1</v>
      </c>
      <c r="AA106" s="2"/>
    </row>
    <row r="107" spans="2:27" x14ac:dyDescent="0.35">
      <c r="D107" s="2">
        <f>D106*D101</f>
        <v>710.90768356010324</v>
      </c>
      <c r="E107" t="s">
        <v>53</v>
      </c>
      <c r="L107" t="s">
        <v>35</v>
      </c>
      <c r="N107" s="4">
        <v>-1.8520000000000001</v>
      </c>
      <c r="O107" s="2">
        <f>$O$103/$N$103*N107</f>
        <v>-10930.372793466402</v>
      </c>
      <c r="P107" s="69"/>
      <c r="R107" s="69"/>
      <c r="S107" s="75"/>
      <c r="V107" s="69"/>
      <c r="W107" s="22"/>
      <c r="X107" s="22"/>
      <c r="Y107" s="69"/>
      <c r="Z107" s="84"/>
      <c r="AA107" s="2"/>
    </row>
    <row r="108" spans="2:27" x14ac:dyDescent="0.35">
      <c r="D108" s="2">
        <f>D107/s_per_min/scm_per_kmol</f>
        <v>0.50110347139140188</v>
      </c>
      <c r="E108" t="s">
        <v>64</v>
      </c>
      <c r="L108" t="s">
        <v>38</v>
      </c>
      <c r="N108" s="4">
        <v>8.3379999999999992</v>
      </c>
      <c r="O108" s="2">
        <f>$O$103/$N$103*N108</f>
        <v>49210.28528721536</v>
      </c>
      <c r="P108" s="69"/>
      <c r="Q108" t="s">
        <v>21</v>
      </c>
      <c r="R108" s="69"/>
      <c r="S108" s="75">
        <f>P73</f>
        <v>0</v>
      </c>
      <c r="T108" s="54"/>
      <c r="U108" s="54"/>
      <c r="V108" s="81"/>
      <c r="W108" s="2"/>
      <c r="X108" s="2"/>
      <c r="Y108" s="82"/>
      <c r="Z108" s="84" t="b">
        <f>S108-W108-X108-Y108&lt;0.0001</f>
        <v>1</v>
      </c>
      <c r="AA108" s="2"/>
    </row>
    <row r="109" spans="2:27" x14ac:dyDescent="0.35">
      <c r="D109" s="2">
        <f>D108*D104</f>
        <v>14.501076572924148</v>
      </c>
      <c r="E109" t="s">
        <v>62</v>
      </c>
      <c r="O109" s="2"/>
      <c r="P109" s="69"/>
      <c r="Q109" t="s">
        <v>35</v>
      </c>
      <c r="R109" s="69"/>
      <c r="S109" s="75">
        <f>P74</f>
        <v>0</v>
      </c>
      <c r="T109" s="54"/>
      <c r="U109" s="54"/>
      <c r="V109" s="81"/>
      <c r="W109" s="2"/>
      <c r="X109" s="2"/>
      <c r="Y109" s="82"/>
      <c r="Z109" s="84" t="b">
        <f>S109-W109-X109-Y109&lt;0.0001</f>
        <v>1</v>
      </c>
      <c r="AA109" s="2"/>
    </row>
    <row r="110" spans="2:27" x14ac:dyDescent="0.35">
      <c r="D110" s="2">
        <f>D103*D109</f>
        <v>26101937.831263468</v>
      </c>
      <c r="E110" t="s">
        <v>118</v>
      </c>
      <c r="L110" t="s">
        <v>8</v>
      </c>
      <c r="N110" s="4">
        <v>5.69</v>
      </c>
      <c r="O110" s="2">
        <f>$O$103/$N$103*N110</f>
        <v>33581.976887053905</v>
      </c>
      <c r="P110" s="69"/>
      <c r="Q110" t="s">
        <v>38</v>
      </c>
      <c r="R110" s="69"/>
      <c r="S110" s="75">
        <f>P75</f>
        <v>0</v>
      </c>
      <c r="T110" s="54"/>
      <c r="U110" s="54"/>
      <c r="V110" s="81"/>
      <c r="W110" s="2"/>
      <c r="X110" s="2"/>
      <c r="Y110" s="82"/>
      <c r="Z110" s="84" t="b">
        <f>S110-W110-X110-Y110&lt;0.0001</f>
        <v>1</v>
      </c>
      <c r="AA110" s="2"/>
    </row>
    <row r="111" spans="2:27" x14ac:dyDescent="0.35">
      <c r="G111" s="3"/>
      <c r="I111" s="19"/>
      <c r="O111" s="2"/>
      <c r="P111" s="69"/>
      <c r="R111" s="69"/>
      <c r="S111" s="75"/>
      <c r="V111" s="69"/>
      <c r="W111" s="22"/>
      <c r="X111" s="22"/>
      <c r="Y111" s="69"/>
      <c r="Z111" s="84"/>
      <c r="AA111" s="2"/>
    </row>
    <row r="112" spans="2:27" x14ac:dyDescent="0.35">
      <c r="B112" s="28" t="s">
        <v>121</v>
      </c>
      <c r="C112" s="28"/>
      <c r="D112" s="28"/>
      <c r="E112" s="28"/>
      <c r="P112" s="69"/>
      <c r="Q112" t="s">
        <v>8</v>
      </c>
      <c r="R112" s="69"/>
      <c r="S112" s="75">
        <f>P57</f>
        <v>2107961.4532602159</v>
      </c>
      <c r="T112" s="72"/>
      <c r="U112" s="4">
        <v>0.2</v>
      </c>
      <c r="V112" s="78">
        <v>0.8</v>
      </c>
      <c r="W112" s="2">
        <f>$S112*T112</f>
        <v>0</v>
      </c>
      <c r="X112" s="2">
        <f>$S112*U112</f>
        <v>421592.29065204319</v>
      </c>
      <c r="Y112" s="82">
        <f>$S112*V112</f>
        <v>1686369.1626081727</v>
      </c>
      <c r="Z112" s="84" t="b">
        <f>S112-W112-X112-Y112&lt;0.0001</f>
        <v>1</v>
      </c>
      <c r="AA112" s="2"/>
    </row>
    <row r="113" spans="2:27" x14ac:dyDescent="0.35">
      <c r="B113" t="s">
        <v>57</v>
      </c>
      <c r="D113" s="1">
        <f>D27</f>
        <v>0.99</v>
      </c>
      <c r="P113" s="69"/>
      <c r="Q113" s="86"/>
      <c r="R113" s="87"/>
      <c r="S113" s="88"/>
      <c r="T113" s="66"/>
      <c r="U113" s="66"/>
      <c r="V113" s="87"/>
      <c r="W113" s="89"/>
      <c r="X113" s="89"/>
      <c r="Y113" s="87"/>
      <c r="Z113" s="90" t="b">
        <f>S113-W113-X113-Y113&lt;0.0001</f>
        <v>1</v>
      </c>
      <c r="AA113" s="2"/>
    </row>
    <row r="114" spans="2:27" x14ac:dyDescent="0.35">
      <c r="D114" s="2">
        <f>D113*S57</f>
        <v>417376.36774552276</v>
      </c>
      <c r="E114" t="s">
        <v>83</v>
      </c>
      <c r="Q114" s="6"/>
      <c r="R114" s="6"/>
      <c r="S114" s="6"/>
      <c r="T114" s="6"/>
      <c r="U114" s="6"/>
      <c r="V114" s="6"/>
      <c r="W114" s="6"/>
      <c r="X114" s="56"/>
      <c r="Y114" s="6"/>
      <c r="Z114" s="6"/>
      <c r="AA114" s="6"/>
    </row>
    <row r="115" spans="2:27" x14ac:dyDescent="0.35">
      <c r="B115" t="s">
        <v>124</v>
      </c>
      <c r="D115">
        <f>D28</f>
        <v>5</v>
      </c>
      <c r="E115" t="s">
        <v>123</v>
      </c>
    </row>
    <row r="116" spans="2:27" x14ac:dyDescent="0.35">
      <c r="D116" s="2">
        <f>D115*D114</f>
        <v>2086881.8387276139</v>
      </c>
      <c r="E116" t="s">
        <v>83</v>
      </c>
    </row>
    <row r="117" spans="2:27" x14ac:dyDescent="0.35">
      <c r="D117" s="2"/>
    </row>
    <row r="118" spans="2:27" x14ac:dyDescent="0.35">
      <c r="D118" s="2"/>
    </row>
    <row r="119" spans="2:27" x14ac:dyDescent="0.35">
      <c r="D119" s="2"/>
    </row>
    <row r="120" spans="2:27" x14ac:dyDescent="0.35">
      <c r="D120" s="2"/>
    </row>
    <row r="121" spans="2:27" x14ac:dyDescent="0.35">
      <c r="D121" s="2"/>
    </row>
    <row r="122" spans="2:27" x14ac:dyDescent="0.35">
      <c r="D122" s="2"/>
    </row>
    <row r="123" spans="2:27" x14ac:dyDescent="0.35">
      <c r="D123" s="2"/>
    </row>
    <row r="124" spans="2:27" x14ac:dyDescent="0.35">
      <c r="D124" s="2"/>
    </row>
    <row r="131" spans="14:19" x14ac:dyDescent="0.35">
      <c r="N131" s="21"/>
      <c r="O131" s="21"/>
      <c r="Q131" s="21"/>
      <c r="R131" s="21"/>
      <c r="S131" s="21"/>
    </row>
    <row r="132" spans="14:19" x14ac:dyDescent="0.35">
      <c r="N132" s="26"/>
      <c r="O132" s="2"/>
      <c r="Q132" s="21"/>
    </row>
    <row r="133" spans="14:19" x14ac:dyDescent="0.35">
      <c r="N133" s="2"/>
      <c r="O133" s="2"/>
      <c r="Q133" s="21"/>
    </row>
    <row r="134" spans="14:19" x14ac:dyDescent="0.35">
      <c r="N134" s="2"/>
      <c r="O134" s="2"/>
      <c r="Q134" s="21"/>
    </row>
    <row r="135" spans="14:19" x14ac:dyDescent="0.35">
      <c r="N135" s="2"/>
      <c r="O135" s="2"/>
      <c r="P135" s="2"/>
      <c r="R135" s="2"/>
    </row>
    <row r="136" spans="14:19" x14ac:dyDescent="0.35">
      <c r="N136" s="2"/>
      <c r="O136" s="2"/>
      <c r="R136" s="2"/>
    </row>
    <row r="137" spans="14:19" x14ac:dyDescent="0.35">
      <c r="N137" s="2"/>
      <c r="O137" s="2"/>
      <c r="Q137" s="22"/>
    </row>
    <row r="138" spans="14:19" x14ac:dyDescent="0.35">
      <c r="N138" s="2"/>
      <c r="O138" s="2"/>
      <c r="Q138" s="22"/>
      <c r="R138" s="23"/>
      <c r="S138" s="23"/>
    </row>
    <row r="139" spans="14:19" x14ac:dyDescent="0.35">
      <c r="N139" s="2"/>
      <c r="O139" s="2"/>
      <c r="Q139" s="22"/>
    </row>
    <row r="140" spans="14:19" x14ac:dyDescent="0.35">
      <c r="O140" s="2"/>
      <c r="P140" s="2"/>
      <c r="S140" s="2"/>
    </row>
    <row r="141" spans="14:19" x14ac:dyDescent="0.35">
      <c r="O141" s="2"/>
      <c r="P141" s="2"/>
      <c r="S141" s="2"/>
    </row>
    <row r="142" spans="14:19" x14ac:dyDescent="0.35">
      <c r="O142" s="2"/>
      <c r="P142" s="2"/>
      <c r="S142" s="2"/>
    </row>
    <row r="143" spans="14:19" x14ac:dyDescent="0.35">
      <c r="O143" s="2"/>
      <c r="P143" s="2"/>
      <c r="S143" s="2"/>
    </row>
    <row r="144" spans="14:19" x14ac:dyDescent="0.35">
      <c r="O144" s="2"/>
      <c r="P144" s="2"/>
      <c r="S144" s="2"/>
    </row>
    <row r="145" spans="2:19" x14ac:dyDescent="0.35">
      <c r="O145" s="2"/>
      <c r="P145" s="2"/>
      <c r="R145" s="22"/>
    </row>
    <row r="146" spans="2:19" x14ac:dyDescent="0.35">
      <c r="O146" s="2"/>
      <c r="P146" s="2"/>
      <c r="S146" s="2"/>
    </row>
    <row r="147" spans="2:19" x14ac:dyDescent="0.35">
      <c r="O147" s="2"/>
      <c r="P147" s="2"/>
    </row>
    <row r="148" spans="2:19" x14ac:dyDescent="0.35">
      <c r="O148" s="2"/>
      <c r="P148" s="2"/>
    </row>
    <row r="149" spans="2:19" x14ac:dyDescent="0.35">
      <c r="N149" s="2"/>
      <c r="P149" s="2"/>
    </row>
    <row r="150" spans="2:19" x14ac:dyDescent="0.35">
      <c r="N150" s="2"/>
      <c r="P150" s="2"/>
    </row>
    <row r="151" spans="2:19" x14ac:dyDescent="0.35">
      <c r="P151" s="2"/>
    </row>
    <row r="152" spans="2:19" x14ac:dyDescent="0.35">
      <c r="M152" s="6"/>
    </row>
    <row r="153" spans="2:19" x14ac:dyDescent="0.35">
      <c r="B153" s="6"/>
      <c r="C153" s="6"/>
      <c r="D153" s="6"/>
      <c r="E153" s="6"/>
      <c r="F153" s="6"/>
      <c r="G153" s="6"/>
      <c r="H153" s="6"/>
      <c r="I153" s="6"/>
      <c r="J153" s="6"/>
      <c r="K153" s="6"/>
      <c r="L153" s="6"/>
      <c r="M153" s="6"/>
    </row>
    <row r="154" spans="2:19" x14ac:dyDescent="0.35">
      <c r="B154" s="6"/>
      <c r="C154" s="6"/>
      <c r="D154" s="6"/>
      <c r="E154" s="6"/>
      <c r="F154" s="6"/>
      <c r="G154" s="6"/>
      <c r="H154" s="6"/>
      <c r="I154" s="6"/>
      <c r="J154" s="6"/>
      <c r="K154" s="6"/>
      <c r="L154" s="6"/>
      <c r="M154" s="6"/>
    </row>
    <row r="155" spans="2:19" x14ac:dyDescent="0.35">
      <c r="B155" s="6"/>
      <c r="C155" s="6"/>
      <c r="D155" s="6"/>
      <c r="E155" s="6"/>
      <c r="F155" s="6"/>
      <c r="G155" s="6"/>
      <c r="H155" s="6"/>
      <c r="I155" s="6"/>
      <c r="J155" s="6"/>
      <c r="K155" s="6"/>
      <c r="L155" s="6"/>
      <c r="M155" s="6"/>
    </row>
    <row r="156" spans="2:19" x14ac:dyDescent="0.35">
      <c r="F156" s="2"/>
    </row>
  </sheetData>
  <pageMargins left="0.7" right="0.7" top="0.75" bottom="0.75" header="0.3" footer="0.3"/>
  <pageSetup orientation="portrait" horizont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sheetPr>
  <dimension ref="A1:AG310"/>
  <sheetViews>
    <sheetView showGridLines="0" zoomScale="85" zoomScaleNormal="85" workbookViewId="0">
      <selection activeCell="L123" sqref="L123"/>
    </sheetView>
  </sheetViews>
  <sheetFormatPr defaultColWidth="11.453125" defaultRowHeight="14.5" x14ac:dyDescent="0.35"/>
  <cols>
    <col min="1" max="1" width="2.81640625" customWidth="1"/>
    <col min="13" max="13" width="11.7265625" bestFit="1" customWidth="1"/>
    <col min="15" max="15" width="12.54296875" bestFit="1" customWidth="1"/>
  </cols>
  <sheetData>
    <row r="1" spans="1:24" s="146" customFormat="1" ht="26" x14ac:dyDescent="0.6">
      <c r="A1" s="145" t="s">
        <v>127</v>
      </c>
      <c r="K1" s="147"/>
      <c r="P1" s="148"/>
      <c r="S1" s="149"/>
      <c r="T1" s="150"/>
    </row>
    <row r="2" spans="1:24" ht="15.5" x14ac:dyDescent="0.35">
      <c r="B2" s="151" t="s">
        <v>469</v>
      </c>
    </row>
    <row r="4" spans="1:24" x14ac:dyDescent="0.35">
      <c r="E4" s="6"/>
      <c r="F4" s="6"/>
      <c r="G4" s="6"/>
      <c r="H4" s="6"/>
      <c r="I4" s="6"/>
      <c r="J4" s="6"/>
      <c r="K4" s="6"/>
      <c r="L4" s="6"/>
      <c r="M4" s="6"/>
      <c r="N4" s="6"/>
      <c r="O4" s="6"/>
      <c r="P4" s="6"/>
      <c r="Q4" s="6"/>
      <c r="R4" s="6"/>
      <c r="S4" s="6"/>
      <c r="T4" s="6"/>
      <c r="U4" s="6"/>
      <c r="V4" s="6"/>
      <c r="W4" s="6"/>
    </row>
    <row r="5" spans="1:24" ht="23.5" x14ac:dyDescent="0.55000000000000004">
      <c r="B5" s="133" t="s">
        <v>262</v>
      </c>
      <c r="C5" s="124"/>
      <c r="D5" s="124"/>
      <c r="E5" s="126" t="s">
        <v>324</v>
      </c>
      <c r="F5" s="126" t="s">
        <v>197</v>
      </c>
      <c r="G5" s="126"/>
      <c r="H5" s="126"/>
      <c r="I5" s="126"/>
      <c r="J5" s="126"/>
      <c r="K5" s="126"/>
      <c r="L5" s="126" t="s">
        <v>259</v>
      </c>
      <c r="M5" s="126"/>
      <c r="N5" s="126"/>
      <c r="O5" s="126" t="s">
        <v>267</v>
      </c>
      <c r="P5" s="126"/>
      <c r="Q5" s="126"/>
      <c r="R5" s="126"/>
      <c r="S5" s="126"/>
      <c r="T5" s="126" t="s">
        <v>260</v>
      </c>
      <c r="U5" s="126"/>
      <c r="V5" s="126"/>
      <c r="W5" s="126"/>
      <c r="X5" s="124"/>
    </row>
    <row r="6" spans="1:24" x14ac:dyDescent="0.35">
      <c r="A6" s="127"/>
      <c r="B6" s="153" t="s">
        <v>256</v>
      </c>
      <c r="C6" s="154"/>
      <c r="D6" s="155" t="s">
        <v>5</v>
      </c>
      <c r="E6" s="214" t="str">
        <f t="shared" ref="E6" si="0">E74</f>
        <v>R-200</v>
      </c>
      <c r="F6" s="156" t="str">
        <f t="shared" ref="F6:K6" si="1">L74</f>
        <v>T-005</v>
      </c>
      <c r="G6" s="156" t="str">
        <f t="shared" si="1"/>
        <v>T-010</v>
      </c>
      <c r="H6" s="156" t="str">
        <f t="shared" si="1"/>
        <v>T-350</v>
      </c>
      <c r="I6" s="156" t="str">
        <f t="shared" si="1"/>
        <v>T-300</v>
      </c>
      <c r="J6" s="156" t="str">
        <f t="shared" si="1"/>
        <v>T-400</v>
      </c>
      <c r="K6" s="157" t="str">
        <f t="shared" si="1"/>
        <v>T-500</v>
      </c>
      <c r="L6" s="156" t="str">
        <f>E128</f>
        <v>CR-300</v>
      </c>
      <c r="M6" s="156" t="str">
        <f>L128</f>
        <v>DC-400</v>
      </c>
      <c r="N6" s="157" t="str">
        <f>R128</f>
        <v>SD-500</v>
      </c>
      <c r="O6" s="156" t="str">
        <f>E201</f>
        <v>K-200</v>
      </c>
      <c r="P6" s="156" t="str">
        <f>L201</f>
        <v>P-005</v>
      </c>
      <c r="Q6" s="156" t="str">
        <f>M201</f>
        <v>P-010</v>
      </c>
      <c r="R6" s="156" t="str">
        <f>N201</f>
        <v>P-300</v>
      </c>
      <c r="S6" s="157" t="str">
        <f>O201</f>
        <v>P-350</v>
      </c>
      <c r="T6" s="156" t="str">
        <f>E255</f>
        <v>H-005</v>
      </c>
      <c r="U6" s="156" t="str">
        <f>F255</f>
        <v>H-101</v>
      </c>
      <c r="V6" s="156" t="str">
        <f>L255</f>
        <v>F-200</v>
      </c>
      <c r="W6" s="227" t="str">
        <f>M255</f>
        <v>F-205</v>
      </c>
      <c r="X6" s="235" t="s">
        <v>59</v>
      </c>
    </row>
    <row r="7" spans="1:24" x14ac:dyDescent="0.35">
      <c r="A7" s="127"/>
      <c r="B7" s="3" t="s">
        <v>257</v>
      </c>
      <c r="D7" s="127" t="s">
        <v>5</v>
      </c>
      <c r="E7" s="215" t="s">
        <v>136</v>
      </c>
      <c r="F7" s="21" t="s">
        <v>136</v>
      </c>
      <c r="G7" s="21" t="s">
        <v>136</v>
      </c>
      <c r="H7" s="21" t="s">
        <v>136</v>
      </c>
      <c r="I7" s="21" t="s">
        <v>136</v>
      </c>
      <c r="J7" s="21" t="s">
        <v>136</v>
      </c>
      <c r="K7" s="130" t="s">
        <v>136</v>
      </c>
      <c r="L7" s="21" t="s">
        <v>136</v>
      </c>
      <c r="M7" s="21" t="s">
        <v>261</v>
      </c>
      <c r="N7" s="130" t="s">
        <v>136</v>
      </c>
      <c r="O7" s="21" t="s">
        <v>178</v>
      </c>
      <c r="P7" s="21" t="s">
        <v>178</v>
      </c>
      <c r="Q7" s="21" t="s">
        <v>178</v>
      </c>
      <c r="R7" s="21" t="s">
        <v>178</v>
      </c>
      <c r="S7" s="130" t="s">
        <v>178</v>
      </c>
      <c r="T7" s="21" t="s">
        <v>261</v>
      </c>
      <c r="U7" s="21" t="s">
        <v>261</v>
      </c>
      <c r="V7" s="21" t="s">
        <v>261</v>
      </c>
      <c r="W7" s="228" t="s">
        <v>261</v>
      </c>
      <c r="X7" s="236" t="s">
        <v>5</v>
      </c>
    </row>
    <row r="8" spans="1:24" x14ac:dyDescent="0.35">
      <c r="A8" s="127"/>
      <c r="B8" s="3" t="s">
        <v>258</v>
      </c>
      <c r="D8" s="127" t="s">
        <v>5</v>
      </c>
      <c r="E8" s="215" t="s">
        <v>44</v>
      </c>
      <c r="F8" s="21" t="s">
        <v>44</v>
      </c>
      <c r="G8" s="21" t="s">
        <v>44</v>
      </c>
      <c r="H8" s="21" t="s">
        <v>44</v>
      </c>
      <c r="I8" s="21" t="s">
        <v>44</v>
      </c>
      <c r="J8" s="21" t="s">
        <v>44</v>
      </c>
      <c r="K8" s="130" t="s">
        <v>44</v>
      </c>
      <c r="L8" s="21" t="s">
        <v>44</v>
      </c>
      <c r="M8" s="21" t="s">
        <v>140</v>
      </c>
      <c r="N8" s="130" t="s">
        <v>44</v>
      </c>
      <c r="O8" s="21" t="s">
        <v>142</v>
      </c>
      <c r="P8" s="21" t="s">
        <v>142</v>
      </c>
      <c r="Q8" s="21" t="s">
        <v>142</v>
      </c>
      <c r="R8" s="21" t="s">
        <v>142</v>
      </c>
      <c r="S8" s="130" t="s">
        <v>142</v>
      </c>
      <c r="T8" s="21" t="s">
        <v>140</v>
      </c>
      <c r="U8" s="21" t="s">
        <v>140</v>
      </c>
      <c r="V8" s="21" t="s">
        <v>140</v>
      </c>
      <c r="W8" s="228" t="s">
        <v>140</v>
      </c>
      <c r="X8" s="236" t="s">
        <v>5</v>
      </c>
    </row>
    <row r="9" spans="1:24" x14ac:dyDescent="0.35">
      <c r="A9" s="127"/>
      <c r="B9" s="3" t="s">
        <v>340</v>
      </c>
      <c r="D9" s="127" t="s">
        <v>5</v>
      </c>
      <c r="E9" s="216">
        <f ca="1">E80</f>
        <v>493.68589136118277</v>
      </c>
      <c r="F9" s="123">
        <f t="shared" ref="F9:K10" ca="1" si="2">L80</f>
        <v>39.981089255778699</v>
      </c>
      <c r="G9" s="123">
        <f t="shared" ca="1" si="2"/>
        <v>982.70295034256571</v>
      </c>
      <c r="H9" s="123">
        <f t="shared" ca="1" si="2"/>
        <v>439.53231316334569</v>
      </c>
      <c r="I9" s="123">
        <f t="shared" ca="1" si="2"/>
        <v>3955.7908184701118</v>
      </c>
      <c r="J9" s="123">
        <f t="shared" ca="1" si="2"/>
        <v>2826.3245520933133</v>
      </c>
      <c r="K9" s="131">
        <f t="shared" ca="1" si="2"/>
        <v>642.7042885065481</v>
      </c>
      <c r="L9" s="123">
        <f ca="1">E136</f>
        <v>29.302154210889718</v>
      </c>
      <c r="M9" s="123">
        <f ca="1">L136</f>
        <v>18.84216368062209</v>
      </c>
      <c r="N9" s="131">
        <f ca="1">R136</f>
        <v>34.781363978793564</v>
      </c>
      <c r="O9" s="123">
        <f ca="1">E212</f>
        <v>1980.2050377755136</v>
      </c>
      <c r="P9" s="123">
        <f t="shared" ref="P9:S10" ca="1" si="3">L212</f>
        <v>0.42308030958495979</v>
      </c>
      <c r="Q9" s="123">
        <f t="shared" ca="1" si="3"/>
        <v>12.47876762339766</v>
      </c>
      <c r="R9" s="123">
        <f t="shared" ca="1" si="3"/>
        <v>13.953406767090339</v>
      </c>
      <c r="S9" s="131">
        <f t="shared" ca="1" si="3"/>
        <v>3.8759463241917618</v>
      </c>
      <c r="T9" s="123">
        <f ca="1">E266</f>
        <v>10.661623801540987</v>
      </c>
      <c r="U9" s="123">
        <f ca="1">F266</f>
        <v>26.205412009135088</v>
      </c>
      <c r="V9" s="123">
        <f ca="1">L266</f>
        <v>7109.0768356010321</v>
      </c>
      <c r="W9" s="229">
        <f ca="1">M266</f>
        <v>14239.005367419973</v>
      </c>
      <c r="X9" s="240" t="s">
        <v>5</v>
      </c>
    </row>
    <row r="10" spans="1:24" x14ac:dyDescent="0.35">
      <c r="A10" s="127"/>
      <c r="B10" s="3" t="s">
        <v>341</v>
      </c>
      <c r="D10" s="127" t="s">
        <v>5</v>
      </c>
      <c r="E10" s="220">
        <f ca="1">E81</f>
        <v>12</v>
      </c>
      <c r="F10" s="123">
        <f t="shared" ca="1" si="2"/>
        <v>1</v>
      </c>
      <c r="G10" s="221">
        <f t="shared" ca="1" si="2"/>
        <v>4</v>
      </c>
      <c r="H10" s="221">
        <f t="shared" ca="1" si="2"/>
        <v>1</v>
      </c>
      <c r="I10" s="221">
        <f t="shared" ca="1" si="2"/>
        <v>1</v>
      </c>
      <c r="J10" s="221">
        <f t="shared" ca="1" si="2"/>
        <v>1</v>
      </c>
      <c r="K10" s="222">
        <f t="shared" ca="1" si="2"/>
        <v>1</v>
      </c>
      <c r="L10" s="221">
        <f ca="1">E137</f>
        <v>2</v>
      </c>
      <c r="M10" s="221">
        <f ca="1">L137</f>
        <v>1</v>
      </c>
      <c r="N10" s="222">
        <f ca="1">R137</f>
        <v>1</v>
      </c>
      <c r="O10" s="221">
        <f ca="1">E213</f>
        <v>2</v>
      </c>
      <c r="P10" s="221">
        <f t="shared" ca="1" si="3"/>
        <v>1</v>
      </c>
      <c r="Q10" s="221">
        <f t="shared" ca="1" si="3"/>
        <v>1</v>
      </c>
      <c r="R10" s="221">
        <f t="shared" ca="1" si="3"/>
        <v>1</v>
      </c>
      <c r="S10" s="222">
        <f t="shared" ca="1" si="3"/>
        <v>12</v>
      </c>
      <c r="T10" s="221">
        <f ca="1">E267</f>
        <v>1</v>
      </c>
      <c r="U10" s="221">
        <f ca="1">F267</f>
        <v>12</v>
      </c>
      <c r="V10" s="221">
        <f ca="1">L267</f>
        <v>1</v>
      </c>
      <c r="W10" s="230">
        <f ca="1">M267</f>
        <v>3</v>
      </c>
      <c r="X10" s="240" t="s">
        <v>5</v>
      </c>
    </row>
    <row r="11" spans="1:24" x14ac:dyDescent="0.35">
      <c r="A11" s="127"/>
      <c r="B11" s="135"/>
      <c r="C11" s="125"/>
      <c r="D11" s="128"/>
      <c r="E11" s="217"/>
      <c r="F11" s="125"/>
      <c r="G11" s="125"/>
      <c r="H11" s="125"/>
      <c r="I11" s="125"/>
      <c r="J11" s="125"/>
      <c r="K11" s="128"/>
      <c r="L11" s="125"/>
      <c r="M11" s="125"/>
      <c r="N11" s="128"/>
      <c r="O11" s="125"/>
      <c r="P11" s="125"/>
      <c r="Q11" s="125"/>
      <c r="R11" s="125"/>
      <c r="S11" s="128"/>
      <c r="T11" s="125"/>
      <c r="U11" s="125"/>
      <c r="V11" s="125"/>
      <c r="W11" s="231"/>
      <c r="X11" s="237"/>
    </row>
    <row r="12" spans="1:24" x14ac:dyDescent="0.35">
      <c r="A12" s="127"/>
      <c r="B12" s="3" t="s">
        <v>244</v>
      </c>
      <c r="D12" s="127" t="s">
        <v>214</v>
      </c>
      <c r="E12" s="218">
        <f ca="1">E82</f>
        <v>1421815.3671202066</v>
      </c>
      <c r="F12" s="22">
        <f ca="1">L82/1000</f>
        <v>0.22389409983236072</v>
      </c>
      <c r="G12" s="22"/>
      <c r="H12" s="22"/>
      <c r="I12" s="22"/>
      <c r="J12" s="22"/>
      <c r="K12" s="132"/>
      <c r="L12" s="22">
        <f ca="1">E138</f>
        <v>632.92653095521791</v>
      </c>
      <c r="M12" s="22">
        <f ca="1">L138</f>
        <v>7976.515958130025</v>
      </c>
      <c r="N12" s="132">
        <f ca="1">R138</f>
        <v>10283.26861610477</v>
      </c>
      <c r="O12" s="22">
        <f ca="1">E214</f>
        <v>1980205.0377755135</v>
      </c>
      <c r="P12" s="22">
        <f ca="1">L214</f>
        <v>1.2692409287548794</v>
      </c>
      <c r="Q12" s="22">
        <f ca="1">M214</f>
        <v>124.7876762339766</v>
      </c>
      <c r="R12" s="22">
        <f ca="1">N214</f>
        <v>13.953406767090339</v>
      </c>
      <c r="S12" s="132">
        <f ca="1">O214</f>
        <v>139.53406767090343</v>
      </c>
      <c r="T12" s="22"/>
      <c r="U12" s="22"/>
      <c r="V12" s="22"/>
      <c r="W12" s="232"/>
      <c r="X12" s="238">
        <f ca="1">SUM(E12:W12)</f>
        <v>3421192.8842866104</v>
      </c>
    </row>
    <row r="13" spans="1:24" x14ac:dyDescent="0.35">
      <c r="A13" s="127"/>
      <c r="B13" s="3" t="s">
        <v>207</v>
      </c>
      <c r="D13" s="127" t="s">
        <v>364</v>
      </c>
      <c r="E13" s="218">
        <f>E83/1000</f>
        <v>14.4</v>
      </c>
      <c r="F13" s="22">
        <f ca="1">L83/1000</f>
        <v>0.68474278865396976</v>
      </c>
      <c r="G13" s="22"/>
      <c r="H13" s="22"/>
      <c r="I13" s="22"/>
      <c r="J13" s="22"/>
      <c r="K13" s="132"/>
      <c r="L13" s="22">
        <f ca="1">E139/1000</f>
        <v>1344.5118296669075</v>
      </c>
      <c r="M13" s="22"/>
      <c r="N13" s="132">
        <f ca="1">R139/1000</f>
        <v>501.98613358975797</v>
      </c>
      <c r="O13" s="22"/>
      <c r="P13" s="22"/>
      <c r="Q13" s="22"/>
      <c r="R13" s="22"/>
      <c r="S13" s="132"/>
      <c r="T13" s="22">
        <f ca="1">E269/1000</f>
        <v>1.2822734946113343</v>
      </c>
      <c r="U13" s="22">
        <f ca="1">F269/1000</f>
        <v>179.23827960796737</v>
      </c>
      <c r="V13" s="22"/>
      <c r="W13" s="232"/>
      <c r="X13" s="238">
        <f ca="1">SUM(E13:W13)</f>
        <v>2042.1032591478981</v>
      </c>
    </row>
    <row r="14" spans="1:24" x14ac:dyDescent="0.35">
      <c r="A14" s="127"/>
      <c r="B14" s="3" t="s">
        <v>245</v>
      </c>
      <c r="D14" s="127" t="s">
        <v>364</v>
      </c>
      <c r="E14" s="218"/>
      <c r="F14" s="22"/>
      <c r="G14" s="22"/>
      <c r="H14" s="22"/>
      <c r="I14" s="22"/>
      <c r="J14" s="22"/>
      <c r="K14" s="132"/>
      <c r="L14" s="22"/>
      <c r="M14" s="22"/>
      <c r="N14" s="132"/>
      <c r="O14" s="22">
        <f ca="1">E216/1000</f>
        <v>232494.0215148624</v>
      </c>
      <c r="P14" s="22"/>
      <c r="Q14" s="22"/>
      <c r="R14" s="22"/>
      <c r="S14" s="132"/>
      <c r="T14" s="22">
        <f ca="1">E270/1000</f>
        <v>193.26131617347863</v>
      </c>
      <c r="U14" s="22">
        <f ca="1">F270/1000</f>
        <v>12006.39193546193</v>
      </c>
      <c r="V14" s="22"/>
      <c r="W14" s="232"/>
      <c r="X14" s="238">
        <f ca="1">SUM(E14:W14)</f>
        <v>244693.6747664978</v>
      </c>
    </row>
    <row r="15" spans="1:24" x14ac:dyDescent="0.35">
      <c r="A15" s="127"/>
      <c r="B15" s="3" t="s">
        <v>194</v>
      </c>
      <c r="D15" s="127" t="s">
        <v>364</v>
      </c>
      <c r="E15" s="218">
        <f ca="1">E85/1000</f>
        <v>248460.53466817102</v>
      </c>
      <c r="F15" s="22"/>
      <c r="G15" s="22"/>
      <c r="H15" s="22"/>
      <c r="I15" s="22"/>
      <c r="J15" s="22"/>
      <c r="K15" s="132"/>
      <c r="L15" s="22">
        <f ca="1">E141/1000</f>
        <v>33915.89462511977</v>
      </c>
      <c r="M15" s="22"/>
      <c r="N15" s="132"/>
      <c r="O15" s="22"/>
      <c r="P15" s="22"/>
      <c r="Q15" s="22"/>
      <c r="R15" s="22"/>
      <c r="S15" s="132"/>
      <c r="T15" s="22"/>
      <c r="U15" s="22"/>
      <c r="V15" s="22"/>
      <c r="W15" s="232"/>
      <c r="X15" s="238">
        <f ca="1">SUM(E15:W15)</f>
        <v>282376.42929329077</v>
      </c>
    </row>
    <row r="16" spans="1:24" x14ac:dyDescent="0.35">
      <c r="A16" s="127"/>
      <c r="B16" s="3" t="s">
        <v>351</v>
      </c>
      <c r="D16" s="127" t="s">
        <v>44</v>
      </c>
      <c r="E16" s="218"/>
      <c r="F16" s="22"/>
      <c r="G16" s="22"/>
      <c r="H16" s="22"/>
      <c r="I16" s="22"/>
      <c r="J16" s="22"/>
      <c r="K16" s="132"/>
      <c r="L16" s="22">
        <f ca="1">E191</f>
        <v>64.970924306423953</v>
      </c>
      <c r="M16" s="22"/>
      <c r="N16" s="132"/>
      <c r="O16" s="22"/>
      <c r="P16" s="22"/>
      <c r="Q16" s="22"/>
      <c r="R16" s="22"/>
      <c r="S16" s="132"/>
      <c r="T16" s="22"/>
      <c r="U16" s="22"/>
      <c r="V16" s="22"/>
      <c r="W16" s="232"/>
      <c r="X16" s="238">
        <f ca="1">SUM(E16:W16)</f>
        <v>64.970924306423953</v>
      </c>
    </row>
    <row r="17" spans="1:33" x14ac:dyDescent="0.35">
      <c r="A17" s="127"/>
      <c r="B17" s="135"/>
      <c r="C17" s="125"/>
      <c r="D17" s="128"/>
      <c r="E17" s="217"/>
      <c r="F17" s="125"/>
      <c r="G17" s="125"/>
      <c r="H17" s="125"/>
      <c r="I17" s="125"/>
      <c r="J17" s="125"/>
      <c r="K17" s="128"/>
      <c r="L17" s="125"/>
      <c r="M17" s="125"/>
      <c r="N17" s="128"/>
      <c r="O17" s="125"/>
      <c r="P17" s="125"/>
      <c r="Q17" s="125"/>
      <c r="R17" s="125"/>
      <c r="S17" s="128"/>
      <c r="T17" s="125"/>
      <c r="U17" s="125"/>
      <c r="V17" s="125"/>
      <c r="W17" s="231"/>
      <c r="X17" s="237"/>
    </row>
    <row r="18" spans="1:33" x14ac:dyDescent="0.35">
      <c r="A18" s="127"/>
      <c r="B18" s="3" t="s">
        <v>365</v>
      </c>
      <c r="D18" s="127" t="s">
        <v>100</v>
      </c>
      <c r="E18" s="216">
        <f>E65</f>
        <v>101</v>
      </c>
      <c r="F18" s="123">
        <f t="shared" ref="F18:W18" si="4">F65</f>
        <v>0</v>
      </c>
      <c r="G18" s="123">
        <f t="shared" si="4"/>
        <v>0</v>
      </c>
      <c r="H18" s="123">
        <f t="shared" si="4"/>
        <v>0</v>
      </c>
      <c r="I18" s="123">
        <f t="shared" si="4"/>
        <v>0</v>
      </c>
      <c r="J18" s="123">
        <f t="shared" si="4"/>
        <v>0</v>
      </c>
      <c r="K18" s="213">
        <f t="shared" si="4"/>
        <v>0</v>
      </c>
      <c r="L18" s="123">
        <f t="shared" si="4"/>
        <v>301</v>
      </c>
      <c r="M18" s="123">
        <f t="shared" si="4"/>
        <v>60</v>
      </c>
      <c r="N18" s="213">
        <f t="shared" si="4"/>
        <v>60</v>
      </c>
      <c r="O18" s="123">
        <f t="shared" si="4"/>
        <v>25</v>
      </c>
      <c r="P18" s="123">
        <f t="shared" si="4"/>
        <v>0.15000000000000002</v>
      </c>
      <c r="Q18" s="123">
        <f t="shared" si="4"/>
        <v>5.5</v>
      </c>
      <c r="R18" s="123">
        <f t="shared" si="4"/>
        <v>0.55000000000000004</v>
      </c>
      <c r="S18" s="213">
        <f t="shared" si="4"/>
        <v>1.6500000000000001</v>
      </c>
      <c r="T18" s="123">
        <f t="shared" si="4"/>
        <v>0</v>
      </c>
      <c r="U18" s="123">
        <f t="shared" si="4"/>
        <v>0</v>
      </c>
      <c r="V18" s="123">
        <f t="shared" si="4"/>
        <v>5</v>
      </c>
      <c r="W18" s="233">
        <f t="shared" si="4"/>
        <v>5</v>
      </c>
      <c r="X18" s="292">
        <f>SUM(E18:W18)</f>
        <v>564.84999999999991</v>
      </c>
    </row>
    <row r="19" spans="1:33" x14ac:dyDescent="0.35">
      <c r="A19" s="127"/>
      <c r="B19" s="134"/>
      <c r="C19" s="124"/>
      <c r="D19" s="129"/>
      <c r="E19" s="219"/>
      <c r="F19" s="124"/>
      <c r="G19" s="124"/>
      <c r="H19" s="124"/>
      <c r="I19" s="124"/>
      <c r="J19" s="124"/>
      <c r="K19" s="129"/>
      <c r="L19" s="124"/>
      <c r="M19" s="124"/>
      <c r="N19" s="129"/>
      <c r="O19" s="124"/>
      <c r="P19" s="124"/>
      <c r="Q19" s="124"/>
      <c r="R19" s="124"/>
      <c r="S19" s="129"/>
      <c r="T19" s="124"/>
      <c r="U19" s="124"/>
      <c r="V19" s="124"/>
      <c r="W19" s="234"/>
      <c r="X19" s="239"/>
    </row>
    <row r="30" spans="1:33" x14ac:dyDescent="0.35">
      <c r="AB30" s="13"/>
      <c r="AC30" s="13"/>
      <c r="AD30" s="13"/>
      <c r="AE30" s="13"/>
      <c r="AF30" s="13"/>
      <c r="AG30" s="13"/>
    </row>
    <row r="31" spans="1:33" x14ac:dyDescent="0.35">
      <c r="AB31" s="13"/>
      <c r="AC31" s="13"/>
      <c r="AD31" s="13"/>
      <c r="AE31" s="13"/>
      <c r="AF31" s="13"/>
      <c r="AG31" s="13"/>
    </row>
    <row r="55" spans="1:23" ht="23.5" x14ac:dyDescent="0.55000000000000004">
      <c r="B55" s="133" t="s">
        <v>383</v>
      </c>
      <c r="C55" s="124"/>
      <c r="D55" s="124"/>
      <c r="E55" s="126" t="s">
        <v>324</v>
      </c>
      <c r="F55" s="126" t="s">
        <v>197</v>
      </c>
      <c r="G55" s="126"/>
      <c r="H55" s="126"/>
      <c r="I55" s="126"/>
      <c r="J55" s="126"/>
      <c r="K55" s="126"/>
      <c r="L55" s="126" t="s">
        <v>259</v>
      </c>
      <c r="M55" s="126"/>
      <c r="N55" s="126"/>
      <c r="O55" s="126" t="s">
        <v>267</v>
      </c>
      <c r="P55" s="126"/>
      <c r="Q55" s="126"/>
      <c r="R55" s="126"/>
      <c r="S55" s="126"/>
      <c r="T55" s="126" t="s">
        <v>260</v>
      </c>
      <c r="U55" s="126"/>
      <c r="V55" s="126"/>
      <c r="W55" s="126"/>
    </row>
    <row r="56" spans="1:23" x14ac:dyDescent="0.35">
      <c r="A56" s="127"/>
      <c r="B56" s="153" t="s">
        <v>256</v>
      </c>
      <c r="C56" s="154"/>
      <c r="D56" s="155" t="s">
        <v>5</v>
      </c>
      <c r="E56" s="214" t="str">
        <f t="shared" ref="E56:W56" si="5">E6</f>
        <v>R-200</v>
      </c>
      <c r="F56" s="156" t="str">
        <f t="shared" si="5"/>
        <v>T-005</v>
      </c>
      <c r="G56" s="156" t="str">
        <f t="shared" si="5"/>
        <v>T-010</v>
      </c>
      <c r="H56" s="156" t="str">
        <f t="shared" si="5"/>
        <v>T-350</v>
      </c>
      <c r="I56" s="156" t="str">
        <f t="shared" si="5"/>
        <v>T-300</v>
      </c>
      <c r="J56" s="156" t="str">
        <f t="shared" si="5"/>
        <v>T-400</v>
      </c>
      <c r="K56" s="157" t="str">
        <f t="shared" si="5"/>
        <v>T-500</v>
      </c>
      <c r="L56" s="156" t="str">
        <f t="shared" si="5"/>
        <v>CR-300</v>
      </c>
      <c r="M56" s="156" t="str">
        <f t="shared" si="5"/>
        <v>DC-400</v>
      </c>
      <c r="N56" s="157" t="str">
        <f t="shared" si="5"/>
        <v>SD-500</v>
      </c>
      <c r="O56" s="156" t="str">
        <f t="shared" si="5"/>
        <v>K-200</v>
      </c>
      <c r="P56" s="156" t="str">
        <f t="shared" si="5"/>
        <v>P-005</v>
      </c>
      <c r="Q56" s="156" t="str">
        <f t="shared" si="5"/>
        <v>P-010</v>
      </c>
      <c r="R56" s="156" t="str">
        <f t="shared" si="5"/>
        <v>P-300</v>
      </c>
      <c r="S56" s="157" t="str">
        <f t="shared" si="5"/>
        <v>P-350</v>
      </c>
      <c r="T56" s="156" t="str">
        <f t="shared" si="5"/>
        <v>H-005</v>
      </c>
      <c r="U56" s="156" t="str">
        <f t="shared" si="5"/>
        <v>H-101</v>
      </c>
      <c r="V56" s="156" t="str">
        <f t="shared" si="5"/>
        <v>F-200</v>
      </c>
      <c r="W56" s="157" t="str">
        <f t="shared" si="5"/>
        <v>F-205</v>
      </c>
    </row>
    <row r="57" spans="1:23" x14ac:dyDescent="0.35">
      <c r="A57" s="127"/>
      <c r="B57" s="3" t="s">
        <v>201</v>
      </c>
      <c r="D57" s="127" t="s">
        <v>100</v>
      </c>
      <c r="E57" s="369">
        <f>Dashboard!E10</f>
        <v>500</v>
      </c>
      <c r="F57" s="210">
        <v>7</v>
      </c>
      <c r="G57" s="207">
        <v>7</v>
      </c>
      <c r="H57" s="207">
        <v>9</v>
      </c>
      <c r="I57" s="207"/>
      <c r="J57" s="207"/>
      <c r="K57" s="209"/>
      <c r="L57" s="210">
        <v>120</v>
      </c>
      <c r="M57" s="207">
        <v>120</v>
      </c>
      <c r="N57" s="209">
        <v>120</v>
      </c>
      <c r="O57" s="210">
        <v>500</v>
      </c>
      <c r="P57" s="207">
        <v>3</v>
      </c>
      <c r="Q57" s="207">
        <v>10</v>
      </c>
      <c r="R57" s="207">
        <v>1</v>
      </c>
      <c r="S57" s="209">
        <v>3</v>
      </c>
      <c r="T57" s="210">
        <v>3</v>
      </c>
      <c r="U57" s="207">
        <v>10</v>
      </c>
      <c r="V57" s="207">
        <v>500</v>
      </c>
      <c r="W57" s="209">
        <v>500</v>
      </c>
    </row>
    <row r="58" spans="1:23" x14ac:dyDescent="0.35">
      <c r="A58" s="127"/>
      <c r="B58" s="3" t="s">
        <v>317</v>
      </c>
      <c r="D58" s="127" t="s">
        <v>320</v>
      </c>
      <c r="E58" s="224">
        <v>0.2</v>
      </c>
      <c r="F58" s="212"/>
      <c r="G58" s="208"/>
      <c r="H58" s="208"/>
      <c r="I58" s="208"/>
      <c r="J58" s="208"/>
      <c r="K58" s="211"/>
      <c r="L58" s="212">
        <v>2.5</v>
      </c>
      <c r="M58" s="208">
        <v>0.5</v>
      </c>
      <c r="N58" s="211">
        <v>0.5</v>
      </c>
      <c r="O58" s="212">
        <v>0.05</v>
      </c>
      <c r="P58" s="208">
        <v>0.05</v>
      </c>
      <c r="Q58" s="208">
        <f>0.5+0.05</f>
        <v>0.55000000000000004</v>
      </c>
      <c r="R58" s="208">
        <v>0.55000000000000004</v>
      </c>
      <c r="S58" s="211">
        <f>0.5+0.05</f>
        <v>0.55000000000000004</v>
      </c>
      <c r="T58" s="212"/>
      <c r="U58" s="208"/>
      <c r="V58" s="208">
        <v>0.01</v>
      </c>
      <c r="W58" s="211">
        <v>0.01</v>
      </c>
    </row>
    <row r="59" spans="1:23" x14ac:dyDescent="0.35">
      <c r="A59" s="127"/>
      <c r="B59" s="3"/>
      <c r="D59" s="127" t="s">
        <v>321</v>
      </c>
      <c r="E59" s="216">
        <f>E58*E57</f>
        <v>100</v>
      </c>
      <c r="F59" s="123">
        <f t="shared" ref="F59:W59" si="6">F58*F57</f>
        <v>0</v>
      </c>
      <c r="G59" s="123">
        <f t="shared" si="6"/>
        <v>0</v>
      </c>
      <c r="H59" s="123">
        <f t="shared" si="6"/>
        <v>0</v>
      </c>
      <c r="I59" s="123">
        <f t="shared" si="6"/>
        <v>0</v>
      </c>
      <c r="J59" s="123">
        <f t="shared" si="6"/>
        <v>0</v>
      </c>
      <c r="K59" s="131">
        <f t="shared" si="6"/>
        <v>0</v>
      </c>
      <c r="L59" s="123">
        <f t="shared" si="6"/>
        <v>300</v>
      </c>
      <c r="M59" s="123">
        <f t="shared" si="6"/>
        <v>60</v>
      </c>
      <c r="N59" s="131">
        <f t="shared" si="6"/>
        <v>60</v>
      </c>
      <c r="O59" s="123">
        <f t="shared" si="6"/>
        <v>25</v>
      </c>
      <c r="P59" s="123">
        <f t="shared" si="6"/>
        <v>0.15000000000000002</v>
      </c>
      <c r="Q59" s="123">
        <f t="shared" si="6"/>
        <v>5.5</v>
      </c>
      <c r="R59" s="123">
        <f t="shared" si="6"/>
        <v>0.55000000000000004</v>
      </c>
      <c r="S59" s="131">
        <f t="shared" si="6"/>
        <v>1.6500000000000001</v>
      </c>
      <c r="T59" s="123">
        <f t="shared" si="6"/>
        <v>0</v>
      </c>
      <c r="U59" s="123">
        <f t="shared" si="6"/>
        <v>0</v>
      </c>
      <c r="V59" s="123">
        <f t="shared" si="6"/>
        <v>5</v>
      </c>
      <c r="W59" s="131">
        <f t="shared" si="6"/>
        <v>5</v>
      </c>
    </row>
    <row r="60" spans="1:23" x14ac:dyDescent="0.35">
      <c r="A60" s="127"/>
      <c r="B60" s="135"/>
      <c r="C60" s="125"/>
      <c r="D60" s="128"/>
      <c r="E60" s="217"/>
      <c r="F60" s="125"/>
      <c r="G60" s="125"/>
      <c r="H60" s="125"/>
      <c r="I60" s="125"/>
      <c r="J60" s="125"/>
      <c r="K60" s="128"/>
      <c r="L60" s="125"/>
      <c r="M60" s="125"/>
      <c r="N60" s="128"/>
      <c r="O60" s="125"/>
      <c r="P60" s="125"/>
      <c r="Q60" s="125"/>
      <c r="R60" s="125"/>
      <c r="S60" s="128"/>
      <c r="T60" s="125"/>
      <c r="U60" s="125"/>
      <c r="V60" s="125"/>
      <c r="W60" s="128"/>
    </row>
    <row r="61" spans="1:23" x14ac:dyDescent="0.35">
      <c r="A61" s="127"/>
      <c r="B61" s="3" t="s">
        <v>318</v>
      </c>
      <c r="D61" s="127" t="s">
        <v>100</v>
      </c>
      <c r="E61" s="293">
        <v>2</v>
      </c>
      <c r="F61" s="210"/>
      <c r="G61" s="207"/>
      <c r="H61" s="207"/>
      <c r="I61" s="207"/>
      <c r="J61" s="207"/>
      <c r="K61" s="209"/>
      <c r="L61" s="210">
        <v>2</v>
      </c>
      <c r="M61" s="207"/>
      <c r="N61" s="209"/>
      <c r="O61" s="210"/>
      <c r="P61" s="207"/>
      <c r="Q61" s="207"/>
      <c r="R61" s="207"/>
      <c r="S61" s="209"/>
      <c r="T61" s="210"/>
      <c r="U61" s="207"/>
      <c r="V61" s="207"/>
      <c r="W61" s="209"/>
    </row>
    <row r="62" spans="1:23" x14ac:dyDescent="0.35">
      <c r="A62" s="127"/>
      <c r="B62" s="3" t="s">
        <v>319</v>
      </c>
      <c r="D62" s="127" t="s">
        <v>320</v>
      </c>
      <c r="E62" s="223">
        <v>0.5</v>
      </c>
      <c r="F62" s="205"/>
      <c r="G62" s="204"/>
      <c r="H62" s="204"/>
      <c r="I62" s="204"/>
      <c r="J62" s="204"/>
      <c r="K62" s="206"/>
      <c r="L62" s="205">
        <v>0.5</v>
      </c>
      <c r="M62" s="204"/>
      <c r="N62" s="206"/>
      <c r="O62" s="205"/>
      <c r="P62" s="204"/>
      <c r="Q62" s="204"/>
      <c r="R62" s="204"/>
      <c r="S62" s="206"/>
      <c r="T62" s="205"/>
      <c r="U62" s="204"/>
      <c r="V62" s="204"/>
      <c r="W62" s="206"/>
    </row>
    <row r="63" spans="1:23" x14ac:dyDescent="0.35">
      <c r="A63" s="127"/>
      <c r="B63" s="3"/>
      <c r="D63" s="127" t="s">
        <v>321</v>
      </c>
      <c r="E63" s="216">
        <f>E62*E61</f>
        <v>1</v>
      </c>
      <c r="F63" s="123">
        <f t="shared" ref="F63" si="7">F62*F61</f>
        <v>0</v>
      </c>
      <c r="G63" s="123">
        <f t="shared" ref="G63" si="8">G62*G61</f>
        <v>0</v>
      </c>
      <c r="H63" s="123">
        <f t="shared" ref="H63" si="9">H62*H61</f>
        <v>0</v>
      </c>
      <c r="I63" s="123">
        <f t="shared" ref="I63" si="10">I62*I61</f>
        <v>0</v>
      </c>
      <c r="J63" s="123">
        <f t="shared" ref="J63" si="11">J62*J61</f>
        <v>0</v>
      </c>
      <c r="K63" s="131">
        <f t="shared" ref="K63" si="12">K62*K61</f>
        <v>0</v>
      </c>
      <c r="L63" s="123">
        <f t="shared" ref="L63" si="13">L62*L61</f>
        <v>1</v>
      </c>
      <c r="M63" s="123">
        <f t="shared" ref="M63" si="14">M62*M61</f>
        <v>0</v>
      </c>
      <c r="N63" s="131">
        <f t="shared" ref="N63" si="15">N62*N61</f>
        <v>0</v>
      </c>
      <c r="O63" s="123">
        <f t="shared" ref="O63" si="16">O62*O61</f>
        <v>0</v>
      </c>
      <c r="P63" s="123">
        <f t="shared" ref="P63" si="17">P62*P61</f>
        <v>0</v>
      </c>
      <c r="Q63" s="123">
        <f t="shared" ref="Q63" si="18">Q62*Q61</f>
        <v>0</v>
      </c>
      <c r="R63" s="123">
        <f t="shared" ref="R63" si="19">R62*R61</f>
        <v>0</v>
      </c>
      <c r="S63" s="131">
        <f t="shared" ref="S63" si="20">S62*S61</f>
        <v>0</v>
      </c>
      <c r="T63" s="123">
        <f t="shared" ref="T63" si="21">T62*T61</f>
        <v>0</v>
      </c>
      <c r="U63" s="123">
        <f t="shared" ref="U63" si="22">U62*U61</f>
        <v>0</v>
      </c>
      <c r="V63" s="123">
        <f t="shared" ref="V63" si="23">V62*V61</f>
        <v>0</v>
      </c>
      <c r="W63" s="131">
        <f t="shared" ref="W63" si="24">W62*W61</f>
        <v>0</v>
      </c>
    </row>
    <row r="64" spans="1:23" x14ac:dyDescent="0.35">
      <c r="A64" s="127"/>
      <c r="B64" s="135"/>
      <c r="C64" s="125"/>
      <c r="D64" s="128"/>
      <c r="E64" s="217"/>
      <c r="F64" s="125"/>
      <c r="G64" s="125"/>
      <c r="H64" s="125"/>
      <c r="I64" s="125"/>
      <c r="J64" s="125"/>
      <c r="K64" s="128"/>
      <c r="L64" s="125"/>
      <c r="M64" s="125"/>
      <c r="N64" s="128"/>
      <c r="O64" s="125"/>
      <c r="P64" s="125"/>
      <c r="Q64" s="125"/>
      <c r="R64" s="125"/>
      <c r="S64" s="128"/>
      <c r="T64" s="125"/>
      <c r="U64" s="125"/>
      <c r="V64" s="125"/>
      <c r="W64" s="128"/>
    </row>
    <row r="65" spans="1:23" x14ac:dyDescent="0.35">
      <c r="A65" s="127"/>
      <c r="B65" s="3" t="s">
        <v>322</v>
      </c>
      <c r="D65" s="127" t="s">
        <v>100</v>
      </c>
      <c r="E65" s="216">
        <f>E63+E59</f>
        <v>101</v>
      </c>
      <c r="F65" s="123">
        <f t="shared" ref="F65:W65" si="25">F63+F59</f>
        <v>0</v>
      </c>
      <c r="G65" s="123">
        <f t="shared" si="25"/>
        <v>0</v>
      </c>
      <c r="H65" s="123">
        <f t="shared" si="25"/>
        <v>0</v>
      </c>
      <c r="I65" s="123">
        <f t="shared" si="25"/>
        <v>0</v>
      </c>
      <c r="J65" s="123">
        <f t="shared" si="25"/>
        <v>0</v>
      </c>
      <c r="K65" s="213">
        <f t="shared" si="25"/>
        <v>0</v>
      </c>
      <c r="L65" s="123">
        <f t="shared" si="25"/>
        <v>301</v>
      </c>
      <c r="M65" s="123">
        <f t="shared" si="25"/>
        <v>60</v>
      </c>
      <c r="N65" s="213">
        <f t="shared" si="25"/>
        <v>60</v>
      </c>
      <c r="O65" s="123">
        <f t="shared" si="25"/>
        <v>25</v>
      </c>
      <c r="P65" s="123">
        <f t="shared" si="25"/>
        <v>0.15000000000000002</v>
      </c>
      <c r="Q65" s="123">
        <f t="shared" si="25"/>
        <v>5.5</v>
      </c>
      <c r="R65" s="123">
        <f t="shared" si="25"/>
        <v>0.55000000000000004</v>
      </c>
      <c r="S65" s="213">
        <f t="shared" si="25"/>
        <v>1.6500000000000001</v>
      </c>
      <c r="T65" s="123">
        <f t="shared" si="25"/>
        <v>0</v>
      </c>
      <c r="U65" s="123">
        <f t="shared" si="25"/>
        <v>0</v>
      </c>
      <c r="V65" s="123">
        <f t="shared" si="25"/>
        <v>5</v>
      </c>
      <c r="W65" s="213">
        <f t="shared" si="25"/>
        <v>5</v>
      </c>
    </row>
    <row r="66" spans="1:23" x14ac:dyDescent="0.35">
      <c r="A66" s="127"/>
      <c r="B66" s="124"/>
      <c r="C66" s="124"/>
      <c r="D66" s="129"/>
      <c r="E66" s="129"/>
      <c r="F66" s="124"/>
      <c r="G66" s="124"/>
      <c r="H66" s="124"/>
      <c r="I66" s="124"/>
      <c r="J66" s="124"/>
      <c r="K66" s="129"/>
      <c r="L66" s="124"/>
      <c r="M66" s="124"/>
      <c r="N66" s="129"/>
      <c r="O66" s="124"/>
      <c r="P66" s="124"/>
      <c r="Q66" s="124"/>
      <c r="R66" s="124"/>
      <c r="S66" s="129"/>
      <c r="T66" s="124"/>
      <c r="U66" s="124"/>
      <c r="V66" s="124"/>
      <c r="W66" s="129"/>
    </row>
    <row r="70" spans="1:23" s="6" customFormat="1" x14ac:dyDescent="0.35"/>
    <row r="71" spans="1:23" s="136" customFormat="1" ht="21" x14ac:dyDescent="0.5">
      <c r="A71" s="137" t="s">
        <v>263</v>
      </c>
    </row>
    <row r="72" spans="1:23" x14ac:dyDescent="0.35">
      <c r="G72" s="139"/>
    </row>
    <row r="73" spans="1:23" x14ac:dyDescent="0.35">
      <c r="G73" s="122"/>
    </row>
    <row r="74" spans="1:23" ht="23.5" x14ac:dyDescent="0.55000000000000004">
      <c r="B74" s="140" t="s">
        <v>324</v>
      </c>
      <c r="C74" s="119"/>
      <c r="D74" s="119"/>
      <c r="E74" s="120" t="s">
        <v>185</v>
      </c>
      <c r="G74" s="122"/>
      <c r="I74" s="140" t="s">
        <v>323</v>
      </c>
      <c r="J74" s="119"/>
      <c r="K74" s="119"/>
      <c r="L74" s="120" t="s">
        <v>145</v>
      </c>
      <c r="M74" s="120" t="s">
        <v>146</v>
      </c>
      <c r="N74" s="120" t="s">
        <v>147</v>
      </c>
      <c r="O74" s="120" t="s">
        <v>148</v>
      </c>
      <c r="P74" s="120" t="s">
        <v>149</v>
      </c>
      <c r="Q74" s="120" t="s">
        <v>150</v>
      </c>
    </row>
    <row r="75" spans="1:23" x14ac:dyDescent="0.35">
      <c r="B75" s="3" t="s">
        <v>1</v>
      </c>
      <c r="D75" t="s">
        <v>5</v>
      </c>
      <c r="E75" s="114">
        <v>200</v>
      </c>
      <c r="G75" s="122"/>
      <c r="I75" s="3" t="s">
        <v>1</v>
      </c>
      <c r="K75" t="s">
        <v>5</v>
      </c>
      <c r="L75" s="114">
        <v>5</v>
      </c>
      <c r="M75" s="114">
        <v>10</v>
      </c>
      <c r="N75" s="114">
        <v>105</v>
      </c>
      <c r="O75" s="114">
        <v>400</v>
      </c>
      <c r="P75" s="114">
        <v>500</v>
      </c>
      <c r="Q75" s="114">
        <v>600</v>
      </c>
    </row>
    <row r="76" spans="1:23" x14ac:dyDescent="0.35">
      <c r="B76" s="3" t="s">
        <v>151</v>
      </c>
      <c r="D76" t="s">
        <v>5</v>
      </c>
      <c r="E76" s="115">
        <v>0.6</v>
      </c>
      <c r="G76" s="122"/>
      <c r="I76" s="3" t="s">
        <v>151</v>
      </c>
      <c r="K76" t="s">
        <v>5</v>
      </c>
      <c r="L76" s="115">
        <v>0.8</v>
      </c>
      <c r="M76" s="115">
        <v>0.8</v>
      </c>
      <c r="N76" s="115">
        <v>0.8</v>
      </c>
      <c r="O76" s="115">
        <v>0.8</v>
      </c>
      <c r="P76" s="115">
        <v>0.8</v>
      </c>
      <c r="Q76" s="115">
        <v>0.8</v>
      </c>
    </row>
    <row r="77" spans="1:23" x14ac:dyDescent="0.35">
      <c r="B77" s="3" t="s">
        <v>332</v>
      </c>
      <c r="D77" t="s">
        <v>44</v>
      </c>
      <c r="E77" s="370">
        <f>Dashboard!E9</f>
        <v>500</v>
      </c>
      <c r="G77" s="122"/>
      <c r="I77" s="3" t="s">
        <v>332</v>
      </c>
      <c r="K77" t="s">
        <v>44</v>
      </c>
      <c r="L77" s="198">
        <v>80</v>
      </c>
      <c r="M77" s="198">
        <v>1000</v>
      </c>
      <c r="N77" s="198">
        <v>500</v>
      </c>
      <c r="O77" s="198">
        <v>10000</v>
      </c>
      <c r="P77" s="198">
        <v>10000</v>
      </c>
      <c r="Q77" s="198">
        <v>10000</v>
      </c>
    </row>
    <row r="78" spans="1:23" x14ac:dyDescent="0.35">
      <c r="G78" s="122"/>
    </row>
    <row r="79" spans="1:23" x14ac:dyDescent="0.35">
      <c r="B79" s="152" t="s">
        <v>246</v>
      </c>
      <c r="C79" s="152"/>
      <c r="D79" s="152"/>
      <c r="E79" s="152"/>
      <c r="G79" s="122"/>
      <c r="I79" s="152" t="s">
        <v>246</v>
      </c>
      <c r="J79" s="152"/>
      <c r="K79" s="152"/>
      <c r="L79" s="152"/>
      <c r="M79" s="152"/>
      <c r="N79" s="152"/>
      <c r="O79" s="152"/>
      <c r="P79" s="152"/>
      <c r="Q79" s="152"/>
    </row>
    <row r="80" spans="1:23" x14ac:dyDescent="0.35">
      <c r="B80" s="3" t="s">
        <v>169</v>
      </c>
      <c r="D80" t="s">
        <v>44</v>
      </c>
      <c r="E80" s="104">
        <f ca="1">E91</f>
        <v>493.68589136118277</v>
      </c>
      <c r="G80" s="122"/>
      <c r="I80" s="3" t="s">
        <v>169</v>
      </c>
      <c r="K80" t="s">
        <v>44</v>
      </c>
      <c r="L80" s="104">
        <f t="shared" ref="L80:Q80" ca="1" si="26">L91</f>
        <v>39.981089255778699</v>
      </c>
      <c r="M80" s="104">
        <f t="shared" ca="1" si="26"/>
        <v>982.70295034256571</v>
      </c>
      <c r="N80" s="104">
        <f t="shared" ca="1" si="26"/>
        <v>439.53231316334569</v>
      </c>
      <c r="O80" s="104">
        <f t="shared" ca="1" si="26"/>
        <v>3955.7908184701118</v>
      </c>
      <c r="P80" s="104">
        <f t="shared" ca="1" si="26"/>
        <v>2826.3245520933133</v>
      </c>
      <c r="Q80" s="104">
        <f t="shared" ca="1" si="26"/>
        <v>642.7042885065481</v>
      </c>
    </row>
    <row r="81" spans="2:17" x14ac:dyDescent="0.35">
      <c r="B81" s="3" t="s">
        <v>138</v>
      </c>
      <c r="D81" t="s">
        <v>5</v>
      </c>
      <c r="E81" s="25">
        <f ca="1">E90</f>
        <v>12</v>
      </c>
      <c r="G81" s="122"/>
      <c r="I81" s="3" t="s">
        <v>138</v>
      </c>
      <c r="K81" t="s">
        <v>5</v>
      </c>
      <c r="L81" s="25">
        <f t="shared" ref="L81:Q81" ca="1" si="27">L90</f>
        <v>1</v>
      </c>
      <c r="M81" s="25">
        <f t="shared" ca="1" si="27"/>
        <v>4</v>
      </c>
      <c r="N81" s="25">
        <f t="shared" ca="1" si="27"/>
        <v>1</v>
      </c>
      <c r="O81" s="25">
        <f t="shared" ca="1" si="27"/>
        <v>1</v>
      </c>
      <c r="P81" s="25">
        <f t="shared" ca="1" si="27"/>
        <v>1</v>
      </c>
      <c r="Q81" s="25">
        <f t="shared" ca="1" si="27"/>
        <v>1</v>
      </c>
    </row>
    <row r="82" spans="2:17" x14ac:dyDescent="0.35">
      <c r="B82" s="3" t="s">
        <v>244</v>
      </c>
      <c r="D82" t="s">
        <v>214</v>
      </c>
      <c r="E82" s="2">
        <f ca="1">E99</f>
        <v>1421815.3671202066</v>
      </c>
      <c r="G82" s="122"/>
      <c r="I82" s="3" t="s">
        <v>244</v>
      </c>
      <c r="K82" t="s">
        <v>214</v>
      </c>
      <c r="L82" s="22">
        <f ca="1">L99</f>
        <v>223.89409983236072</v>
      </c>
      <c r="M82" s="22" t="str">
        <f t="shared" ref="M82:Q82" si="28">M99</f>
        <v>-</v>
      </c>
      <c r="N82" s="22" t="str">
        <f t="shared" si="28"/>
        <v>-</v>
      </c>
      <c r="O82" s="22" t="str">
        <f t="shared" si="28"/>
        <v>-</v>
      </c>
      <c r="P82" s="22" t="str">
        <f t="shared" si="28"/>
        <v>-</v>
      </c>
      <c r="Q82" s="22" t="str">
        <f t="shared" si="28"/>
        <v>-</v>
      </c>
    </row>
    <row r="83" spans="2:17" x14ac:dyDescent="0.35">
      <c r="B83" s="3" t="s">
        <v>207</v>
      </c>
      <c r="D83" t="s">
        <v>83</v>
      </c>
      <c r="E83" s="22">
        <f>E114</f>
        <v>14400</v>
      </c>
      <c r="G83" s="122"/>
      <c r="I83" s="3" t="s">
        <v>207</v>
      </c>
      <c r="K83" t="s">
        <v>83</v>
      </c>
      <c r="L83" s="22">
        <f ca="1">L108</f>
        <v>684.7427886539698</v>
      </c>
      <c r="M83" s="22" t="str">
        <f t="shared" ref="M83:Q83" si="29">M108</f>
        <v>-</v>
      </c>
      <c r="N83" s="22" t="str">
        <f t="shared" si="29"/>
        <v>-</v>
      </c>
      <c r="O83" s="22" t="str">
        <f t="shared" si="29"/>
        <v>-</v>
      </c>
      <c r="P83" s="22" t="str">
        <f t="shared" si="29"/>
        <v>-</v>
      </c>
      <c r="Q83" s="22" t="str">
        <f t="shared" si="29"/>
        <v>-</v>
      </c>
    </row>
    <row r="84" spans="2:17" x14ac:dyDescent="0.35">
      <c r="B84" s="3" t="s">
        <v>245</v>
      </c>
      <c r="D84" t="s">
        <v>83</v>
      </c>
      <c r="E84" s="22" t="s">
        <v>5</v>
      </c>
      <c r="G84" s="122"/>
      <c r="I84" s="3" t="s">
        <v>245</v>
      </c>
      <c r="K84" t="s">
        <v>83</v>
      </c>
      <c r="L84" s="22" t="s">
        <v>5</v>
      </c>
      <c r="M84" s="22" t="s">
        <v>5</v>
      </c>
      <c r="N84" s="22" t="s">
        <v>5</v>
      </c>
      <c r="O84" s="22" t="s">
        <v>5</v>
      </c>
      <c r="P84" s="22" t="s">
        <v>5</v>
      </c>
      <c r="Q84" s="22" t="s">
        <v>5</v>
      </c>
    </row>
    <row r="85" spans="2:17" x14ac:dyDescent="0.35">
      <c r="B85" s="3" t="s">
        <v>194</v>
      </c>
      <c r="D85" t="s">
        <v>83</v>
      </c>
      <c r="E85" s="22">
        <f ca="1">E108</f>
        <v>248460534.66817102</v>
      </c>
      <c r="G85" s="122"/>
      <c r="I85" s="3" t="s">
        <v>194</v>
      </c>
      <c r="K85" t="s">
        <v>83</v>
      </c>
      <c r="L85" s="22" t="s">
        <v>5</v>
      </c>
      <c r="M85" s="22" t="s">
        <v>5</v>
      </c>
      <c r="N85" s="22" t="s">
        <v>5</v>
      </c>
      <c r="O85" s="22" t="s">
        <v>5</v>
      </c>
      <c r="P85" s="22" t="s">
        <v>5</v>
      </c>
      <c r="Q85" s="22" t="s">
        <v>5</v>
      </c>
    </row>
    <row r="86" spans="2:17" x14ac:dyDescent="0.35">
      <c r="B86" s="3"/>
      <c r="E86" s="2"/>
      <c r="G86" s="122"/>
      <c r="I86" s="3"/>
      <c r="L86" s="2"/>
      <c r="M86" s="22"/>
      <c r="N86" s="22"/>
      <c r="O86" s="22"/>
      <c r="P86" s="22"/>
      <c r="Q86" s="22"/>
    </row>
    <row r="87" spans="2:17" x14ac:dyDescent="0.35">
      <c r="B87" s="152" t="s">
        <v>330</v>
      </c>
      <c r="C87" s="152"/>
      <c r="D87" s="152"/>
      <c r="E87" s="152"/>
      <c r="G87" s="122"/>
      <c r="I87" s="152" t="s">
        <v>219</v>
      </c>
      <c r="J87" s="152"/>
      <c r="K87" s="152"/>
      <c r="L87" s="152"/>
      <c r="M87" s="152"/>
      <c r="N87" s="152"/>
      <c r="O87" s="152"/>
      <c r="P87" s="152"/>
      <c r="Q87" s="152"/>
    </row>
    <row r="88" spans="2:17" x14ac:dyDescent="0.35">
      <c r="B88" s="3" t="s">
        <v>271</v>
      </c>
      <c r="D88" t="s">
        <v>44</v>
      </c>
      <c r="E88" s="22">
        <f ca="1">StreamTable(E75,"Volume")</f>
        <v>3554.5384178005161</v>
      </c>
      <c r="G88" s="122"/>
      <c r="I88" s="3" t="s">
        <v>271</v>
      </c>
      <c r="K88" t="s">
        <v>44</v>
      </c>
      <c r="L88" s="22">
        <f t="shared" ref="L88:Q88" ca="1" si="30">StreamTable(L75,"Volume")</f>
        <v>31.984871404622961</v>
      </c>
      <c r="M88" s="22">
        <f t="shared" ca="1" si="30"/>
        <v>3144.6494410962105</v>
      </c>
      <c r="N88" s="22">
        <f t="shared" ca="1" si="30"/>
        <v>351.62585053067659</v>
      </c>
      <c r="O88" s="22">
        <f t="shared" ca="1" si="30"/>
        <v>3164.6326547760896</v>
      </c>
      <c r="P88" s="22">
        <f t="shared" ca="1" si="30"/>
        <v>2261.0596416746507</v>
      </c>
      <c r="Q88" s="22">
        <f t="shared" ca="1" si="30"/>
        <v>514.16343080523848</v>
      </c>
    </row>
    <row r="89" spans="2:17" x14ac:dyDescent="0.35">
      <c r="B89" s="3" t="s">
        <v>331</v>
      </c>
      <c r="D89" t="s">
        <v>44</v>
      </c>
      <c r="E89" s="2">
        <f ca="1">E88/E76</f>
        <v>5924.2306963341935</v>
      </c>
      <c r="G89" s="122"/>
      <c r="I89" s="3" t="s">
        <v>272</v>
      </c>
      <c r="K89" t="s">
        <v>44</v>
      </c>
      <c r="L89" s="2">
        <f t="shared" ref="L89:Q89" ca="1" si="31">L88/L76</f>
        <v>39.981089255778699</v>
      </c>
      <c r="M89" s="2">
        <f t="shared" ca="1" si="31"/>
        <v>3930.8118013702629</v>
      </c>
      <c r="N89" s="2">
        <f t="shared" ca="1" si="31"/>
        <v>439.53231316334569</v>
      </c>
      <c r="O89" s="2">
        <f t="shared" ca="1" si="31"/>
        <v>3955.7908184701118</v>
      </c>
      <c r="P89" s="2">
        <f t="shared" ca="1" si="31"/>
        <v>2826.3245520933133</v>
      </c>
      <c r="Q89" s="2">
        <f t="shared" ca="1" si="31"/>
        <v>642.7042885065481</v>
      </c>
    </row>
    <row r="90" spans="2:17" x14ac:dyDescent="0.35">
      <c r="B90" s="3" t="s">
        <v>138</v>
      </c>
      <c r="D90" t="s">
        <v>5</v>
      </c>
      <c r="E90">
        <f ca="1">ROUNDUP(E89/E77,0)</f>
        <v>12</v>
      </c>
      <c r="G90" s="122"/>
      <c r="I90" s="3" t="s">
        <v>138</v>
      </c>
      <c r="K90" t="s">
        <v>5</v>
      </c>
      <c r="L90">
        <f t="shared" ref="L90:Q90" ca="1" si="32">ROUNDUP(L89/L77,0)</f>
        <v>1</v>
      </c>
      <c r="M90">
        <f t="shared" ca="1" si="32"/>
        <v>4</v>
      </c>
      <c r="N90">
        <f t="shared" ca="1" si="32"/>
        <v>1</v>
      </c>
      <c r="O90">
        <f t="shared" ca="1" si="32"/>
        <v>1</v>
      </c>
      <c r="P90">
        <f t="shared" ca="1" si="32"/>
        <v>1</v>
      </c>
      <c r="Q90">
        <f t="shared" ca="1" si="32"/>
        <v>1</v>
      </c>
    </row>
    <row r="91" spans="2:17" x14ac:dyDescent="0.35">
      <c r="B91" s="3" t="s">
        <v>272</v>
      </c>
      <c r="D91" t="s">
        <v>44</v>
      </c>
      <c r="E91" s="2">
        <f ca="1">E89/E90</f>
        <v>493.68589136118277</v>
      </c>
      <c r="G91" s="122"/>
      <c r="I91" s="3" t="s">
        <v>272</v>
      </c>
      <c r="K91" t="s">
        <v>44</v>
      </c>
      <c r="L91" s="2">
        <f t="shared" ref="L91:Q91" ca="1" si="33">L89/L90</f>
        <v>39.981089255778699</v>
      </c>
      <c r="M91" s="2">
        <f t="shared" ca="1" si="33"/>
        <v>982.70295034256571</v>
      </c>
      <c r="N91" s="2">
        <f t="shared" ca="1" si="33"/>
        <v>439.53231316334569</v>
      </c>
      <c r="O91" s="2">
        <f t="shared" ca="1" si="33"/>
        <v>3955.7908184701118</v>
      </c>
      <c r="P91" s="2">
        <f t="shared" ca="1" si="33"/>
        <v>2826.3245520933133</v>
      </c>
      <c r="Q91" s="2">
        <f t="shared" ca="1" si="33"/>
        <v>642.7042885065481</v>
      </c>
    </row>
    <row r="92" spans="2:17" x14ac:dyDescent="0.35">
      <c r="G92" s="122"/>
    </row>
    <row r="93" spans="2:17" x14ac:dyDescent="0.35">
      <c r="B93" s="152" t="s">
        <v>220</v>
      </c>
      <c r="C93" s="152"/>
      <c r="D93" s="152"/>
      <c r="E93" s="152"/>
      <c r="G93" s="122"/>
      <c r="I93" s="152" t="s">
        <v>220</v>
      </c>
      <c r="J93" s="152"/>
      <c r="K93" s="152"/>
      <c r="L93" s="152"/>
      <c r="M93" s="152"/>
      <c r="N93" s="152"/>
      <c r="O93" s="152"/>
      <c r="P93" s="152"/>
      <c r="Q93" s="152"/>
    </row>
    <row r="94" spans="2:17" x14ac:dyDescent="0.35">
      <c r="B94" s="3" t="s">
        <v>201</v>
      </c>
      <c r="D94" t="s">
        <v>100</v>
      </c>
      <c r="E94" s="104">
        <f>E57</f>
        <v>500</v>
      </c>
      <c r="G94" s="122"/>
      <c r="I94" s="3" t="s">
        <v>201</v>
      </c>
      <c r="K94" t="s">
        <v>100</v>
      </c>
      <c r="L94" s="104">
        <f t="shared" ref="L94:Q94" si="34">F57</f>
        <v>7</v>
      </c>
      <c r="M94" s="104">
        <f t="shared" si="34"/>
        <v>7</v>
      </c>
      <c r="N94" s="104">
        <f t="shared" si="34"/>
        <v>9</v>
      </c>
      <c r="O94" s="104">
        <f t="shared" si="34"/>
        <v>0</v>
      </c>
      <c r="P94" s="104">
        <f t="shared" si="34"/>
        <v>0</v>
      </c>
      <c r="Q94" s="104">
        <f t="shared" si="34"/>
        <v>0</v>
      </c>
    </row>
    <row r="95" spans="2:17" x14ac:dyDescent="0.35">
      <c r="B95" s="3"/>
      <c r="D95" t="s">
        <v>91</v>
      </c>
      <c r="E95" s="2">
        <f>E94*s_per_h</f>
        <v>1800000</v>
      </c>
      <c r="G95" s="122"/>
      <c r="I95" s="3"/>
      <c r="K95" t="s">
        <v>91</v>
      </c>
      <c r="L95" s="2">
        <f t="shared" ref="L95:Q95" si="35">L94*s_per_h</f>
        <v>25200</v>
      </c>
      <c r="M95" s="2">
        <f t="shared" si="35"/>
        <v>25200</v>
      </c>
      <c r="N95" s="2">
        <f t="shared" si="35"/>
        <v>32400</v>
      </c>
      <c r="O95" s="2">
        <f t="shared" si="35"/>
        <v>0</v>
      </c>
      <c r="P95" s="2">
        <f t="shared" si="35"/>
        <v>0</v>
      </c>
      <c r="Q95" s="2">
        <f t="shared" si="35"/>
        <v>0</v>
      </c>
    </row>
    <row r="96" spans="2:17" x14ac:dyDescent="0.35">
      <c r="B96" s="3" t="s">
        <v>226</v>
      </c>
      <c r="D96" t="s">
        <v>186</v>
      </c>
      <c r="E96" s="109">
        <v>0.8</v>
      </c>
      <c r="G96" s="122"/>
      <c r="I96" s="3" t="s">
        <v>226</v>
      </c>
      <c r="K96" t="s">
        <v>186</v>
      </c>
      <c r="L96" s="109">
        <v>1</v>
      </c>
      <c r="M96" s="113" t="s">
        <v>5</v>
      </c>
      <c r="N96" s="113" t="s">
        <v>5</v>
      </c>
      <c r="O96" s="113" t="s">
        <v>5</v>
      </c>
      <c r="P96" s="113" t="s">
        <v>5</v>
      </c>
      <c r="Q96" s="113" t="s">
        <v>5</v>
      </c>
    </row>
    <row r="97" spans="2:17" x14ac:dyDescent="0.35">
      <c r="B97" s="3" t="s">
        <v>178</v>
      </c>
      <c r="D97" t="s">
        <v>187</v>
      </c>
      <c r="E97" s="2">
        <f ca="1">E96*E88</f>
        <v>2843.6307342404129</v>
      </c>
      <c r="G97" s="122"/>
      <c r="I97" s="3" t="s">
        <v>178</v>
      </c>
      <c r="K97" t="s">
        <v>187</v>
      </c>
      <c r="L97" s="2">
        <f ca="1">L96*L88</f>
        <v>31.984871404622961</v>
      </c>
      <c r="M97" s="22" t="s">
        <v>5</v>
      </c>
      <c r="N97" s="22" t="s">
        <v>5</v>
      </c>
      <c r="O97" s="22" t="s">
        <v>5</v>
      </c>
      <c r="P97" s="22" t="s">
        <v>5</v>
      </c>
      <c r="Q97" s="22" t="s">
        <v>5</v>
      </c>
    </row>
    <row r="98" spans="2:17" x14ac:dyDescent="0.35">
      <c r="B98" s="3"/>
      <c r="D98" t="s">
        <v>7</v>
      </c>
      <c r="E98" s="2">
        <f ca="1">E97*E95</f>
        <v>5118535321.6327429</v>
      </c>
      <c r="G98" s="122"/>
      <c r="I98" s="3"/>
      <c r="K98" t="s">
        <v>7</v>
      </c>
      <c r="L98" s="2">
        <f ca="1">L97*L95</f>
        <v>806018.75939649867</v>
      </c>
      <c r="M98" s="22" t="s">
        <v>5</v>
      </c>
      <c r="N98" s="22" t="s">
        <v>5</v>
      </c>
      <c r="O98" s="22" t="s">
        <v>5</v>
      </c>
      <c r="P98" s="22" t="s">
        <v>5</v>
      </c>
      <c r="Q98" s="22" t="s">
        <v>5</v>
      </c>
    </row>
    <row r="99" spans="2:17" x14ac:dyDescent="0.35">
      <c r="D99" t="s">
        <v>214</v>
      </c>
      <c r="E99" s="2">
        <f ca="1">E97*E94</f>
        <v>1421815.3671202066</v>
      </c>
      <c r="G99" s="122"/>
      <c r="K99" t="s">
        <v>214</v>
      </c>
      <c r="L99" s="2">
        <f ca="1">L97*L94</f>
        <v>223.89409983236072</v>
      </c>
      <c r="M99" s="22" t="s">
        <v>5</v>
      </c>
      <c r="N99" s="22" t="s">
        <v>5</v>
      </c>
      <c r="O99" s="22" t="s">
        <v>5</v>
      </c>
      <c r="P99" s="22" t="s">
        <v>5</v>
      </c>
      <c r="Q99" s="22" t="s">
        <v>5</v>
      </c>
    </row>
    <row r="100" spans="2:17" x14ac:dyDescent="0.35">
      <c r="B100" s="3"/>
      <c r="G100" s="122"/>
      <c r="I100" s="3"/>
    </row>
    <row r="101" spans="2:17" x14ac:dyDescent="0.35">
      <c r="B101" s="152" t="s">
        <v>368</v>
      </c>
      <c r="C101" s="152"/>
      <c r="D101" s="152"/>
      <c r="E101" s="152"/>
      <c r="G101" s="122"/>
      <c r="I101" s="152" t="s">
        <v>366</v>
      </c>
      <c r="J101" s="152"/>
      <c r="K101" s="152"/>
      <c r="L101" s="152"/>
      <c r="M101" s="152"/>
      <c r="N101" s="152"/>
      <c r="O101" s="152"/>
      <c r="P101" s="152"/>
      <c r="Q101" s="152"/>
    </row>
    <row r="102" spans="2:17" x14ac:dyDescent="0.35">
      <c r="B102" s="3" t="s">
        <v>192</v>
      </c>
      <c r="D102" t="s">
        <v>83</v>
      </c>
      <c r="E102" s="22">
        <f ca="1">StreamTable(E75,"Mass per batch")</f>
        <v>3554538.4178005159</v>
      </c>
      <c r="G102" s="122"/>
      <c r="I102" s="3" t="s">
        <v>192</v>
      </c>
      <c r="K102" t="s">
        <v>83</v>
      </c>
      <c r="L102" s="22">
        <f ca="1">StreamTable(L75,"Mass per batch")</f>
        <v>42539.878968148536</v>
      </c>
      <c r="M102" s="22" t="s">
        <v>5</v>
      </c>
      <c r="N102" s="22" t="s">
        <v>5</v>
      </c>
      <c r="O102" s="22" t="s">
        <v>5</v>
      </c>
      <c r="P102" s="22" t="s">
        <v>5</v>
      </c>
      <c r="Q102" s="22" t="s">
        <v>5</v>
      </c>
    </row>
    <row r="103" spans="2:17" x14ac:dyDescent="0.35">
      <c r="B103" s="3" t="s">
        <v>221</v>
      </c>
      <c r="D103" t="s">
        <v>3</v>
      </c>
      <c r="E103" s="113">
        <v>35</v>
      </c>
      <c r="G103" s="122"/>
      <c r="I103" s="3" t="s">
        <v>221</v>
      </c>
      <c r="K103" t="s">
        <v>3</v>
      </c>
      <c r="L103" s="113">
        <v>25</v>
      </c>
      <c r="M103" s="113" t="s">
        <v>5</v>
      </c>
      <c r="N103" s="113" t="s">
        <v>5</v>
      </c>
      <c r="O103" s="113" t="s">
        <v>5</v>
      </c>
      <c r="P103" s="113" t="s">
        <v>5</v>
      </c>
      <c r="Q103" s="113" t="s">
        <v>5</v>
      </c>
    </row>
    <row r="104" spans="2:17" x14ac:dyDescent="0.35">
      <c r="B104" s="3" t="s">
        <v>441</v>
      </c>
      <c r="D104" t="s">
        <v>3</v>
      </c>
      <c r="E104" s="113">
        <v>30</v>
      </c>
      <c r="G104" s="122"/>
      <c r="I104" s="3" t="s">
        <v>441</v>
      </c>
      <c r="K104" t="s">
        <v>3</v>
      </c>
      <c r="L104" s="113">
        <v>50</v>
      </c>
      <c r="M104" s="113" t="s">
        <v>5</v>
      </c>
      <c r="N104" s="113" t="s">
        <v>5</v>
      </c>
      <c r="O104" s="113" t="s">
        <v>5</v>
      </c>
      <c r="P104" s="113" t="s">
        <v>5</v>
      </c>
      <c r="Q104" s="113" t="s">
        <v>5</v>
      </c>
    </row>
    <row r="105" spans="2:17" x14ac:dyDescent="0.35">
      <c r="B105" s="3" t="s">
        <v>222</v>
      </c>
      <c r="D105" t="s">
        <v>7</v>
      </c>
      <c r="E105" s="2">
        <f ca="1">(E104-E103)*Cp_H2O*E102</f>
        <v>-74289852.932030782</v>
      </c>
      <c r="G105" s="122"/>
      <c r="I105" s="3" t="s">
        <v>222</v>
      </c>
      <c r="K105" t="s">
        <v>7</v>
      </c>
      <c r="L105" s="2">
        <f ca="1">(L104-L103)*Cp_GlucoseSyrup*L102</f>
        <v>2243978.6155698351</v>
      </c>
      <c r="M105" s="22" t="s">
        <v>5</v>
      </c>
      <c r="N105" s="22" t="s">
        <v>5</v>
      </c>
      <c r="O105" s="22" t="s">
        <v>5</v>
      </c>
      <c r="P105" s="22" t="s">
        <v>5</v>
      </c>
      <c r="Q105" s="22" t="s">
        <v>5</v>
      </c>
    </row>
    <row r="106" spans="2:17" x14ac:dyDescent="0.35">
      <c r="B106" s="3" t="s">
        <v>193</v>
      </c>
      <c r="D106" t="s">
        <v>7</v>
      </c>
      <c r="E106" s="2">
        <f ca="1">E105-E98</f>
        <v>-5192825174.5647736</v>
      </c>
      <c r="G106" s="122"/>
      <c r="I106" s="3" t="s">
        <v>193</v>
      </c>
      <c r="K106" t="s">
        <v>7</v>
      </c>
      <c r="L106" s="2">
        <f ca="1">L105-L98</f>
        <v>1437959.8561733365</v>
      </c>
      <c r="M106" s="22" t="s">
        <v>5</v>
      </c>
      <c r="N106" s="22" t="s">
        <v>5</v>
      </c>
      <c r="O106" s="22" t="s">
        <v>5</v>
      </c>
      <c r="P106" s="22" t="s">
        <v>5</v>
      </c>
      <c r="Q106" s="22" t="s">
        <v>5</v>
      </c>
    </row>
    <row r="107" spans="2:17" x14ac:dyDescent="0.35">
      <c r="G107" s="122"/>
    </row>
    <row r="108" spans="2:17" x14ac:dyDescent="0.35">
      <c r="B108" s="3" t="s">
        <v>367</v>
      </c>
      <c r="D108" t="s">
        <v>83</v>
      </c>
      <c r="E108" s="2">
        <f ca="1">E106/Cp_H2O/(T_ChilledWater_Supply-T_ChilledWater_Return)</f>
        <v>248460534.66817102</v>
      </c>
      <c r="G108" s="122"/>
      <c r="I108" s="3" t="s">
        <v>207</v>
      </c>
      <c r="K108" t="s">
        <v>83</v>
      </c>
      <c r="L108" s="2">
        <f ca="1">L106/Hvap_H2O</f>
        <v>684.7427886539698</v>
      </c>
      <c r="M108" s="22" t="s">
        <v>5</v>
      </c>
      <c r="N108" s="22" t="s">
        <v>5</v>
      </c>
      <c r="O108" s="22" t="s">
        <v>5</v>
      </c>
      <c r="P108" s="22" t="s">
        <v>5</v>
      </c>
      <c r="Q108" s="22" t="s">
        <v>5</v>
      </c>
    </row>
    <row r="109" spans="2:17" x14ac:dyDescent="0.35">
      <c r="B109" s="3"/>
      <c r="D109" t="s">
        <v>195</v>
      </c>
      <c r="E109" s="2">
        <f ca="1">E108/E94</f>
        <v>496921.06933634204</v>
      </c>
      <c r="G109" s="122"/>
      <c r="I109" s="3"/>
      <c r="K109" t="s">
        <v>195</v>
      </c>
      <c r="L109" s="2">
        <f ca="1">L108/L94</f>
        <v>97.820398379138538</v>
      </c>
      <c r="M109" s="22" t="s">
        <v>5</v>
      </c>
      <c r="N109" s="22" t="s">
        <v>5</v>
      </c>
      <c r="O109" s="22" t="s">
        <v>5</v>
      </c>
      <c r="P109" s="22" t="s">
        <v>5</v>
      </c>
      <c r="Q109" s="22" t="s">
        <v>5</v>
      </c>
    </row>
    <row r="110" spans="2:17" x14ac:dyDescent="0.35">
      <c r="G110" s="122"/>
      <c r="I110" s="142"/>
      <c r="J110" s="142"/>
      <c r="K110" s="142"/>
      <c r="L110" s="142"/>
      <c r="M110" s="142"/>
      <c r="N110" s="142"/>
      <c r="O110" s="142"/>
      <c r="P110" s="142"/>
      <c r="Q110" s="142"/>
    </row>
    <row r="111" spans="2:17" x14ac:dyDescent="0.35">
      <c r="B111" s="152" t="s">
        <v>325</v>
      </c>
      <c r="C111" s="152"/>
      <c r="D111" s="152"/>
      <c r="E111" s="152"/>
      <c r="G111" s="122"/>
    </row>
    <row r="112" spans="2:17" x14ac:dyDescent="0.35">
      <c r="B112" s="3" t="s">
        <v>327</v>
      </c>
      <c r="D112" t="s">
        <v>100</v>
      </c>
      <c r="E112" s="104">
        <f>E61</f>
        <v>2</v>
      </c>
      <c r="G112" s="122"/>
    </row>
    <row r="113" spans="1:18" x14ac:dyDescent="0.35">
      <c r="B113" s="3" t="s">
        <v>326</v>
      </c>
      <c r="D113" t="s">
        <v>195</v>
      </c>
      <c r="E113" s="64">
        <v>7200</v>
      </c>
      <c r="G113" s="122"/>
    </row>
    <row r="114" spans="1:18" x14ac:dyDescent="0.35">
      <c r="B114" s="3" t="s">
        <v>328</v>
      </c>
      <c r="D114" t="s">
        <v>83</v>
      </c>
      <c r="E114" s="2">
        <f>E113*E112</f>
        <v>14400</v>
      </c>
      <c r="G114" s="122"/>
    </row>
    <row r="115" spans="1:18" x14ac:dyDescent="0.35">
      <c r="B115" s="142"/>
      <c r="C115" s="142"/>
      <c r="D115" s="142"/>
      <c r="E115" s="142"/>
      <c r="G115" s="122"/>
    </row>
    <row r="116" spans="1:18" x14ac:dyDescent="0.35">
      <c r="G116" s="122"/>
    </row>
    <row r="117" spans="1:18" x14ac:dyDescent="0.35">
      <c r="G117" s="122"/>
    </row>
    <row r="118" spans="1:18" x14ac:dyDescent="0.35">
      <c r="G118" s="122"/>
    </row>
    <row r="119" spans="1:18" x14ac:dyDescent="0.35">
      <c r="G119" s="122"/>
    </row>
    <row r="120" spans="1:18" x14ac:dyDescent="0.35">
      <c r="G120" s="122"/>
    </row>
    <row r="121" spans="1:18" x14ac:dyDescent="0.35">
      <c r="G121" s="122"/>
    </row>
    <row r="122" spans="1:18" x14ac:dyDescent="0.35">
      <c r="G122" s="122"/>
    </row>
    <row r="123" spans="1:18" x14ac:dyDescent="0.35">
      <c r="G123" s="122"/>
    </row>
    <row r="124" spans="1:18" x14ac:dyDescent="0.35">
      <c r="G124" s="122"/>
    </row>
    <row r="125" spans="1:18" s="136" customFormat="1" ht="21" x14ac:dyDescent="0.5">
      <c r="A125" s="137" t="s">
        <v>264</v>
      </c>
      <c r="G125" s="138"/>
    </row>
    <row r="126" spans="1:18" x14ac:dyDescent="0.35">
      <c r="G126" s="122"/>
      <c r="M126" s="122"/>
    </row>
    <row r="127" spans="1:18" x14ac:dyDescent="0.35">
      <c r="G127" s="122"/>
      <c r="M127" s="122"/>
      <c r="N127" s="2"/>
    </row>
    <row r="128" spans="1:18" ht="23.5" x14ac:dyDescent="0.55000000000000004">
      <c r="B128" s="140" t="s">
        <v>199</v>
      </c>
      <c r="C128" s="119"/>
      <c r="D128" s="119"/>
      <c r="E128" s="120" t="s">
        <v>198</v>
      </c>
      <c r="G128" s="122"/>
      <c r="I128" s="140" t="s">
        <v>223</v>
      </c>
      <c r="J128" s="119"/>
      <c r="K128" s="119"/>
      <c r="L128" s="120" t="s">
        <v>212</v>
      </c>
      <c r="M128" s="122"/>
      <c r="O128" s="140" t="s">
        <v>234</v>
      </c>
      <c r="P128" s="119"/>
      <c r="Q128" s="119"/>
      <c r="R128" s="120" t="s">
        <v>224</v>
      </c>
    </row>
    <row r="129" spans="2:18" x14ac:dyDescent="0.35">
      <c r="B129" s="3" t="s">
        <v>1</v>
      </c>
      <c r="E129" s="102">
        <v>400</v>
      </c>
      <c r="G129" s="122"/>
      <c r="I129" s="3" t="s">
        <v>1</v>
      </c>
      <c r="K129" t="s">
        <v>5</v>
      </c>
      <c r="L129" s="102">
        <v>500</v>
      </c>
      <c r="M129" s="122"/>
      <c r="O129" s="3" t="s">
        <v>201</v>
      </c>
      <c r="Q129" t="s">
        <v>100</v>
      </c>
      <c r="R129" s="104">
        <f>N57</f>
        <v>120</v>
      </c>
    </row>
    <row r="130" spans="2:18" x14ac:dyDescent="0.35">
      <c r="B130" s="3" t="s">
        <v>201</v>
      </c>
      <c r="D130" t="s">
        <v>100</v>
      </c>
      <c r="E130" s="104">
        <f>L57</f>
        <v>120</v>
      </c>
      <c r="G130" s="122"/>
      <c r="I130" s="3" t="s">
        <v>201</v>
      </c>
      <c r="K130" t="s">
        <v>100</v>
      </c>
      <c r="L130" s="104">
        <f>M57</f>
        <v>120</v>
      </c>
      <c r="M130" s="122"/>
      <c r="O130" s="3" t="s">
        <v>208</v>
      </c>
      <c r="Q130" t="s">
        <v>3</v>
      </c>
      <c r="R130" s="113">
        <v>70</v>
      </c>
    </row>
    <row r="131" spans="2:18" x14ac:dyDescent="0.35">
      <c r="B131" s="3" t="s">
        <v>200</v>
      </c>
      <c r="D131" t="s">
        <v>100</v>
      </c>
      <c r="E131" s="113">
        <v>2</v>
      </c>
      <c r="G131" s="122"/>
      <c r="I131" s="3" t="s">
        <v>226</v>
      </c>
      <c r="K131" t="s">
        <v>213</v>
      </c>
      <c r="L131" s="64">
        <v>12700</v>
      </c>
      <c r="M131" s="122"/>
      <c r="O131" s="3" t="s">
        <v>333</v>
      </c>
      <c r="Q131" t="s">
        <v>44</v>
      </c>
      <c r="R131" s="64">
        <v>10000</v>
      </c>
    </row>
    <row r="132" spans="2:18" x14ac:dyDescent="0.35">
      <c r="B132" s="3" t="s">
        <v>151</v>
      </c>
      <c r="D132" t="s">
        <v>5</v>
      </c>
      <c r="E132" s="100">
        <v>0.9</v>
      </c>
      <c r="G132" s="122"/>
      <c r="I132" s="3" t="s">
        <v>334</v>
      </c>
      <c r="K132" t="s">
        <v>140</v>
      </c>
      <c r="L132" s="64">
        <v>9000</v>
      </c>
      <c r="M132" s="122"/>
    </row>
    <row r="133" spans="2:18" x14ac:dyDescent="0.35">
      <c r="B133" s="3" t="s">
        <v>333</v>
      </c>
      <c r="D133" t="s">
        <v>44</v>
      </c>
      <c r="E133" s="113">
        <v>40</v>
      </c>
      <c r="G133" s="122"/>
      <c r="I133" s="3"/>
      <c r="L133" s="64"/>
      <c r="M133" s="122"/>
    </row>
    <row r="134" spans="2:18" x14ac:dyDescent="0.35">
      <c r="G134" s="122"/>
      <c r="M134" s="122"/>
    </row>
    <row r="135" spans="2:18" x14ac:dyDescent="0.35">
      <c r="B135" s="152" t="s">
        <v>246</v>
      </c>
      <c r="C135" s="152"/>
      <c r="D135" s="152"/>
      <c r="E135" s="152"/>
      <c r="G135" s="122"/>
      <c r="I135" s="152" t="s">
        <v>246</v>
      </c>
      <c r="J135" s="152"/>
      <c r="K135" s="152"/>
      <c r="L135" s="152"/>
      <c r="M135" s="122"/>
      <c r="O135" s="152" t="s">
        <v>246</v>
      </c>
      <c r="P135" s="152"/>
      <c r="Q135" s="152"/>
      <c r="R135" s="152"/>
    </row>
    <row r="136" spans="2:18" x14ac:dyDescent="0.35">
      <c r="B136" s="3" t="s">
        <v>169</v>
      </c>
      <c r="D136" t="s">
        <v>44</v>
      </c>
      <c r="E136" s="104">
        <f ca="1">E149</f>
        <v>29.302154210889718</v>
      </c>
      <c r="G136" s="122"/>
      <c r="I136" s="3" t="s">
        <v>169</v>
      </c>
      <c r="K136" t="s">
        <v>44</v>
      </c>
      <c r="L136" s="104">
        <f ca="1">L147</f>
        <v>18.84216368062209</v>
      </c>
      <c r="M136" s="122"/>
      <c r="O136" s="3" t="s">
        <v>169</v>
      </c>
      <c r="Q136" t="s">
        <v>44</v>
      </c>
      <c r="R136" s="104">
        <f ca="1">R148</f>
        <v>34.781363978793564</v>
      </c>
    </row>
    <row r="137" spans="2:18" x14ac:dyDescent="0.35">
      <c r="B137" s="3" t="s">
        <v>138</v>
      </c>
      <c r="D137" t="s">
        <v>5</v>
      </c>
      <c r="E137" s="25">
        <f ca="1">E148</f>
        <v>2</v>
      </c>
      <c r="G137" s="122"/>
      <c r="I137" s="3" t="s">
        <v>138</v>
      </c>
      <c r="K137" t="s">
        <v>5</v>
      </c>
      <c r="L137" s="25">
        <f ca="1">L146</f>
        <v>1</v>
      </c>
      <c r="M137" s="122"/>
      <c r="O137" s="3" t="s">
        <v>138</v>
      </c>
      <c r="Q137" t="s">
        <v>5</v>
      </c>
      <c r="R137" s="25">
        <f ca="1">R147</f>
        <v>1</v>
      </c>
    </row>
    <row r="138" spans="2:18" x14ac:dyDescent="0.35">
      <c r="B138" s="3" t="s">
        <v>244</v>
      </c>
      <c r="D138" t="s">
        <v>214</v>
      </c>
      <c r="E138" s="2">
        <f ca="1">E156</f>
        <v>632.92653095521791</v>
      </c>
      <c r="G138" s="122"/>
      <c r="I138" s="3" t="s">
        <v>244</v>
      </c>
      <c r="K138" t="s">
        <v>214</v>
      </c>
      <c r="L138" s="2">
        <f ca="1">L151</f>
        <v>7976.515958130025</v>
      </c>
      <c r="M138" s="122"/>
      <c r="O138" s="3" t="s">
        <v>244</v>
      </c>
      <c r="Q138" t="s">
        <v>214</v>
      </c>
      <c r="R138" s="2">
        <f ca="1">R152</f>
        <v>10283.26861610477</v>
      </c>
    </row>
    <row r="139" spans="2:18" x14ac:dyDescent="0.35">
      <c r="B139" s="3" t="s">
        <v>207</v>
      </c>
      <c r="D139" t="s">
        <v>83</v>
      </c>
      <c r="E139" s="22">
        <f ca="1">E170</f>
        <v>1344511.8296669074</v>
      </c>
      <c r="G139" s="122"/>
      <c r="I139" s="3" t="s">
        <v>207</v>
      </c>
      <c r="K139" t="s">
        <v>83</v>
      </c>
      <c r="L139" s="101" t="s">
        <v>5</v>
      </c>
      <c r="M139" s="122"/>
      <c r="O139" s="3" t="s">
        <v>207</v>
      </c>
      <c r="Q139" t="s">
        <v>83</v>
      </c>
      <c r="R139" s="22">
        <f ca="1">R174</f>
        <v>501986.13358975796</v>
      </c>
    </row>
    <row r="140" spans="2:18" x14ac:dyDescent="0.35">
      <c r="B140" s="3" t="s">
        <v>245</v>
      </c>
      <c r="D140" t="s">
        <v>83</v>
      </c>
      <c r="E140" s="21" t="s">
        <v>5</v>
      </c>
      <c r="G140" s="122"/>
      <c r="I140" s="3" t="s">
        <v>245</v>
      </c>
      <c r="K140" t="s">
        <v>83</v>
      </c>
      <c r="L140" s="101" t="s">
        <v>5</v>
      </c>
      <c r="M140" s="122"/>
      <c r="O140" s="3" t="s">
        <v>245</v>
      </c>
      <c r="Q140" t="s">
        <v>83</v>
      </c>
      <c r="R140" s="101" t="s">
        <v>5</v>
      </c>
    </row>
    <row r="141" spans="2:18" x14ac:dyDescent="0.35">
      <c r="B141" s="3" t="s">
        <v>194</v>
      </c>
      <c r="D141" t="s">
        <v>83</v>
      </c>
      <c r="E141" s="22">
        <f ca="1">E179</f>
        <v>33915894.625119768</v>
      </c>
      <c r="G141" s="122"/>
      <c r="I141" s="3" t="s">
        <v>194</v>
      </c>
      <c r="K141" t="s">
        <v>83</v>
      </c>
      <c r="L141" s="101" t="s">
        <v>5</v>
      </c>
      <c r="M141" s="122"/>
      <c r="O141" s="3" t="s">
        <v>194</v>
      </c>
      <c r="Q141" t="s">
        <v>83</v>
      </c>
      <c r="R141" s="101" t="s">
        <v>5</v>
      </c>
    </row>
    <row r="142" spans="2:18" x14ac:dyDescent="0.35">
      <c r="G142" s="122"/>
      <c r="M142" s="122"/>
    </row>
    <row r="143" spans="2:18" x14ac:dyDescent="0.35">
      <c r="B143" s="152" t="s">
        <v>219</v>
      </c>
      <c r="C143" s="152"/>
      <c r="D143" s="152"/>
      <c r="E143" s="152"/>
      <c r="G143" s="122"/>
      <c r="I143" s="152" t="s">
        <v>247</v>
      </c>
      <c r="J143" s="152"/>
      <c r="K143" s="152"/>
      <c r="L143" s="152"/>
      <c r="M143" s="122"/>
      <c r="O143" s="152" t="s">
        <v>219</v>
      </c>
      <c r="P143" s="152"/>
      <c r="Q143" s="152"/>
      <c r="R143" s="152"/>
    </row>
    <row r="144" spans="2:18" x14ac:dyDescent="0.35">
      <c r="B144" s="3" t="s">
        <v>271</v>
      </c>
      <c r="D144" t="s">
        <v>44</v>
      </c>
      <c r="E144" s="22">
        <f ca="1">StreamTable(E129,"Volume")</f>
        <v>3164.6326547760896</v>
      </c>
      <c r="G144" s="122"/>
      <c r="I144" s="3" t="s">
        <v>232</v>
      </c>
      <c r="K144" t="s">
        <v>44</v>
      </c>
      <c r="L144" s="22">
        <f ca="1">StreamTable(L129,"Volume")</f>
        <v>2261.0596416746507</v>
      </c>
      <c r="M144" s="122"/>
      <c r="O144" s="3" t="s">
        <v>239</v>
      </c>
      <c r="Q144" t="s">
        <v>218</v>
      </c>
      <c r="R144" s="113">
        <v>100</v>
      </c>
    </row>
    <row r="145" spans="2:18" x14ac:dyDescent="0.35">
      <c r="B145" s="3" t="s">
        <v>225</v>
      </c>
      <c r="D145" t="s">
        <v>140</v>
      </c>
      <c r="E145" s="2">
        <f ca="1">E144/E130</f>
        <v>26.371938789800748</v>
      </c>
      <c r="G145" s="122"/>
      <c r="I145" s="3" t="s">
        <v>335</v>
      </c>
      <c r="K145" t="s">
        <v>140</v>
      </c>
      <c r="L145" s="2">
        <f ca="1">L144/L130</f>
        <v>18.84216368062209</v>
      </c>
      <c r="M145" s="122"/>
      <c r="O145" s="3" t="s">
        <v>240</v>
      </c>
      <c r="Q145" t="s">
        <v>195</v>
      </c>
      <c r="R145" s="2">
        <f ca="1">R169/R129</f>
        <v>3478.1363978793565</v>
      </c>
    </row>
    <row r="146" spans="2:18" x14ac:dyDescent="0.35">
      <c r="B146" s="3" t="s">
        <v>50</v>
      </c>
      <c r="D146" t="s">
        <v>44</v>
      </c>
      <c r="E146" s="2">
        <f ca="1">E145*E131</f>
        <v>52.743877579601495</v>
      </c>
      <c r="G146" s="122"/>
      <c r="I146" s="3" t="s">
        <v>138</v>
      </c>
      <c r="K146" t="s">
        <v>5</v>
      </c>
      <c r="L146">
        <f ca="1">ROUNDUP(L145/L132,0)</f>
        <v>1</v>
      </c>
      <c r="M146" s="122"/>
      <c r="O146" s="3" t="s">
        <v>272</v>
      </c>
      <c r="Q146" t="s">
        <v>44</v>
      </c>
      <c r="R146" s="2">
        <f ca="1">R145/R144</f>
        <v>34.781363978793564</v>
      </c>
    </row>
    <row r="147" spans="2:18" x14ac:dyDescent="0.35">
      <c r="B147" s="3" t="s">
        <v>331</v>
      </c>
      <c r="D147" t="s">
        <v>44</v>
      </c>
      <c r="E147" s="2">
        <f ca="1">E146/E132</f>
        <v>58.604308421779436</v>
      </c>
      <c r="G147" s="122"/>
      <c r="I147" s="3" t="s">
        <v>336</v>
      </c>
      <c r="K147" t="s">
        <v>140</v>
      </c>
      <c r="L147" s="2">
        <f ca="1">L145/L146</f>
        <v>18.84216368062209</v>
      </c>
      <c r="M147" s="122"/>
      <c r="O147" s="3" t="s">
        <v>138</v>
      </c>
      <c r="Q147" t="s">
        <v>5</v>
      </c>
      <c r="R147">
        <f ca="1">ROUNDUP(R146/R131,0)</f>
        <v>1</v>
      </c>
    </row>
    <row r="148" spans="2:18" x14ac:dyDescent="0.35">
      <c r="B148" s="3" t="s">
        <v>138</v>
      </c>
      <c r="D148" t="s">
        <v>5</v>
      </c>
      <c r="E148">
        <f ca="1">ROUNDUP(E147/E133,0)</f>
        <v>2</v>
      </c>
      <c r="G148" s="122"/>
      <c r="M148" s="122"/>
      <c r="O148" s="3" t="s">
        <v>272</v>
      </c>
      <c r="Q148" t="s">
        <v>44</v>
      </c>
      <c r="R148" s="2">
        <f ca="1">R146/R147</f>
        <v>34.781363978793564</v>
      </c>
    </row>
    <row r="149" spans="2:18" x14ac:dyDescent="0.35">
      <c r="B149" s="3" t="s">
        <v>272</v>
      </c>
      <c r="D149" t="s">
        <v>44</v>
      </c>
      <c r="E149" s="2">
        <f ca="1">E147/E148</f>
        <v>29.302154210889718</v>
      </c>
      <c r="G149" s="121"/>
      <c r="I149" s="152" t="s">
        <v>231</v>
      </c>
      <c r="J149" s="152"/>
      <c r="K149" s="152"/>
      <c r="L149" s="152"/>
      <c r="M149" s="122"/>
    </row>
    <row r="150" spans="2:18" x14ac:dyDescent="0.35">
      <c r="G150" s="122"/>
      <c r="I150" s="3" t="s">
        <v>233</v>
      </c>
      <c r="K150" t="s">
        <v>7</v>
      </c>
      <c r="L150" s="2">
        <f ca="1">L131*L144</f>
        <v>28715457.449268065</v>
      </c>
      <c r="M150" s="122"/>
      <c r="O150" s="152" t="s">
        <v>231</v>
      </c>
      <c r="P150" s="152"/>
      <c r="Q150" s="152"/>
      <c r="R150" s="152"/>
    </row>
    <row r="151" spans="2:18" x14ac:dyDescent="0.35">
      <c r="B151" s="152" t="s">
        <v>220</v>
      </c>
      <c r="C151" s="152"/>
      <c r="D151" s="152"/>
      <c r="E151" s="152"/>
      <c r="G151" s="122"/>
      <c r="K151" t="s">
        <v>214</v>
      </c>
      <c r="L151" s="2">
        <f ca="1">L150/kJ_per_kWh</f>
        <v>7976.515958130025</v>
      </c>
      <c r="M151" s="122"/>
      <c r="O151" s="3" t="s">
        <v>226</v>
      </c>
      <c r="Q151" t="s">
        <v>217</v>
      </c>
      <c r="R151" s="109">
        <v>0.02</v>
      </c>
    </row>
    <row r="152" spans="2:18" x14ac:dyDescent="0.35">
      <c r="B152" s="3" t="s">
        <v>226</v>
      </c>
      <c r="D152" t="s">
        <v>186</v>
      </c>
      <c r="E152" s="109">
        <v>0.1</v>
      </c>
      <c r="G152" s="122"/>
      <c r="K152" t="s">
        <v>142</v>
      </c>
      <c r="L152" s="2">
        <f ca="1">L151/L130</f>
        <v>66.470966317750211</v>
      </c>
      <c r="M152" s="122"/>
      <c r="O152" s="3" t="s">
        <v>178</v>
      </c>
      <c r="Q152" t="s">
        <v>214</v>
      </c>
      <c r="R152" s="2">
        <f ca="1">R151*R156</f>
        <v>10283.26861610477</v>
      </c>
    </row>
    <row r="153" spans="2:18" x14ac:dyDescent="0.35">
      <c r="B153" s="3" t="s">
        <v>201</v>
      </c>
      <c r="D153" t="s">
        <v>91</v>
      </c>
      <c r="E153" s="2">
        <f>E130*s_per_h</f>
        <v>432000</v>
      </c>
      <c r="G153" s="122"/>
      <c r="I153" s="142"/>
      <c r="J153" s="142"/>
      <c r="K153" s="142"/>
      <c r="L153" s="142"/>
      <c r="M153" s="122"/>
    </row>
    <row r="154" spans="2:18" x14ac:dyDescent="0.35">
      <c r="B154" s="3" t="s">
        <v>178</v>
      </c>
      <c r="D154" t="s">
        <v>142</v>
      </c>
      <c r="E154" s="2">
        <f ca="1">E152*E146</f>
        <v>5.2743877579601497</v>
      </c>
      <c r="G154" s="122"/>
      <c r="M154" s="122"/>
      <c r="O154" s="152" t="s">
        <v>238</v>
      </c>
      <c r="P154" s="152"/>
      <c r="Q154" s="152"/>
      <c r="R154" s="152"/>
    </row>
    <row r="155" spans="2:18" x14ac:dyDescent="0.35">
      <c r="B155" s="3"/>
      <c r="D155" t="s">
        <v>7</v>
      </c>
      <c r="E155" s="2">
        <f ca="1">E154*E153</f>
        <v>2278535.5114387847</v>
      </c>
      <c r="G155" s="122"/>
      <c r="M155" s="122"/>
      <c r="O155" s="3" t="s">
        <v>1</v>
      </c>
      <c r="Q155" t="s">
        <v>5</v>
      </c>
      <c r="R155" s="102">
        <v>600</v>
      </c>
    </row>
    <row r="156" spans="2:18" x14ac:dyDescent="0.35">
      <c r="B156" s="3"/>
      <c r="D156" t="s">
        <v>214</v>
      </c>
      <c r="E156" s="2">
        <f ca="1">E154*E130</f>
        <v>632.92653095521791</v>
      </c>
      <c r="G156" s="122"/>
      <c r="M156" s="122"/>
      <c r="O156" s="3" t="s">
        <v>273</v>
      </c>
      <c r="Q156" t="s">
        <v>83</v>
      </c>
      <c r="R156" s="22">
        <f ca="1">StreamTable(R155,"Mass per batch")</f>
        <v>514163.43080523843</v>
      </c>
    </row>
    <row r="157" spans="2:18" x14ac:dyDescent="0.35">
      <c r="B157" s="3"/>
      <c r="G157" s="122"/>
      <c r="M157" s="122"/>
      <c r="O157" s="3" t="s">
        <v>204</v>
      </c>
      <c r="Q157" t="s">
        <v>3</v>
      </c>
      <c r="R157" s="113">
        <v>25</v>
      </c>
    </row>
    <row r="158" spans="2:18" x14ac:dyDescent="0.35">
      <c r="B158" s="152" t="s">
        <v>227</v>
      </c>
      <c r="C158" s="152"/>
      <c r="D158" s="152"/>
      <c r="E158" s="152"/>
      <c r="G158" s="122"/>
      <c r="M158" s="122"/>
      <c r="O158" s="3" t="s">
        <v>215</v>
      </c>
      <c r="Q158" t="s">
        <v>162</v>
      </c>
      <c r="R158" s="109">
        <v>3.58</v>
      </c>
    </row>
    <row r="159" spans="2:18" x14ac:dyDescent="0.35">
      <c r="B159" s="3" t="s">
        <v>273</v>
      </c>
      <c r="D159" t="s">
        <v>83</v>
      </c>
      <c r="E159" s="22">
        <f ca="1">StreamTable(E129,"Mass per batch")</f>
        <v>3164632.6547760894</v>
      </c>
      <c r="G159" s="122"/>
      <c r="M159" s="122"/>
      <c r="O159" s="3" t="s">
        <v>191</v>
      </c>
      <c r="Q159" t="s">
        <v>7</v>
      </c>
      <c r="R159" s="2">
        <f ca="1">R156*R158*(R130-R157)</f>
        <v>82831728.70272392</v>
      </c>
    </row>
    <row r="160" spans="2:18" x14ac:dyDescent="0.35">
      <c r="B160" s="3" t="s">
        <v>204</v>
      </c>
      <c r="D160" t="s">
        <v>3</v>
      </c>
      <c r="E160" s="113">
        <v>30</v>
      </c>
      <c r="G160" s="122"/>
      <c r="M160" s="122"/>
      <c r="O160" s="3"/>
    </row>
    <row r="161" spans="2:18" x14ac:dyDescent="0.35">
      <c r="B161" s="3" t="s">
        <v>229</v>
      </c>
      <c r="D161" t="s">
        <v>3</v>
      </c>
      <c r="E161" s="113">
        <v>100</v>
      </c>
      <c r="G161" s="122"/>
      <c r="M161" s="122"/>
      <c r="O161" s="152" t="s">
        <v>237</v>
      </c>
      <c r="P161" s="152"/>
      <c r="Q161" s="152"/>
      <c r="R161" s="152"/>
    </row>
    <row r="162" spans="2:18" x14ac:dyDescent="0.35">
      <c r="B162" s="3" t="s">
        <v>222</v>
      </c>
      <c r="D162" t="s">
        <v>7</v>
      </c>
      <c r="E162" s="2">
        <f ca="1">(E161-E160)*Cp_H2O*E159</f>
        <v>925971514.78748369</v>
      </c>
      <c r="G162" s="122"/>
      <c r="M162" s="122"/>
      <c r="O162" s="3" t="s">
        <v>1</v>
      </c>
      <c r="Q162" t="s">
        <v>5</v>
      </c>
      <c r="R162" s="102">
        <v>605</v>
      </c>
    </row>
    <row r="163" spans="2:18" x14ac:dyDescent="0.35">
      <c r="B163" s="3"/>
      <c r="G163" s="122"/>
      <c r="M163" s="122"/>
      <c r="O163" s="3" t="s">
        <v>273</v>
      </c>
      <c r="Q163" t="s">
        <v>83</v>
      </c>
      <c r="R163" s="22">
        <f ca="1">StreamTable(R162,"Mass per batch")</f>
        <v>2086881.8387276139</v>
      </c>
    </row>
    <row r="164" spans="2:18" x14ac:dyDescent="0.35">
      <c r="B164" s="3" t="s">
        <v>202</v>
      </c>
      <c r="D164" t="s">
        <v>5</v>
      </c>
      <c r="E164" s="102">
        <v>450</v>
      </c>
      <c r="G164" s="122"/>
      <c r="M164" s="122"/>
      <c r="O164" s="3" t="s">
        <v>204</v>
      </c>
      <c r="Q164" t="s">
        <v>3</v>
      </c>
      <c r="R164" s="113">
        <v>25</v>
      </c>
    </row>
    <row r="165" spans="2:18" x14ac:dyDescent="0.35">
      <c r="B165" s="3" t="s">
        <v>203</v>
      </c>
      <c r="D165" t="s">
        <v>83</v>
      </c>
      <c r="E165" s="22">
        <f ca="1">StreamTable(E164,"Mass per batch")</f>
        <v>903573.01310143911</v>
      </c>
      <c r="G165" s="122"/>
      <c r="M165" s="122"/>
      <c r="O165" s="3" t="s">
        <v>191</v>
      </c>
      <c r="Q165" t="s">
        <v>7</v>
      </c>
      <c r="R165" s="2">
        <f ca="1">R163*Cp_air*(R130-R164)</f>
        <v>94848779.570170045</v>
      </c>
    </row>
    <row r="166" spans="2:18" x14ac:dyDescent="0.35">
      <c r="B166" s="3" t="s">
        <v>228</v>
      </c>
      <c r="D166" t="s">
        <v>7</v>
      </c>
      <c r="E166" s="2">
        <f ca="1">E165*Hvap_H2O</f>
        <v>1897503327.5130222</v>
      </c>
      <c r="G166" s="122"/>
      <c r="M166" s="122"/>
      <c r="O166" s="3"/>
    </row>
    <row r="167" spans="2:18" x14ac:dyDescent="0.35">
      <c r="B167" s="3"/>
      <c r="G167" s="122"/>
      <c r="M167" s="122"/>
      <c r="O167" s="152" t="s">
        <v>236</v>
      </c>
      <c r="P167" s="152"/>
      <c r="Q167" s="152"/>
      <c r="R167" s="152"/>
    </row>
    <row r="168" spans="2:18" x14ac:dyDescent="0.35">
      <c r="B168" s="3" t="s">
        <v>193</v>
      </c>
      <c r="D168" t="s">
        <v>7</v>
      </c>
      <c r="E168" s="2">
        <f ca="1">E162+E166</f>
        <v>2823474842.3005056</v>
      </c>
      <c r="G168" s="122"/>
      <c r="M168" s="122"/>
      <c r="O168" s="3" t="s">
        <v>1</v>
      </c>
      <c r="Q168" t="s">
        <v>5</v>
      </c>
      <c r="R168" s="102">
        <v>650</v>
      </c>
    </row>
    <row r="169" spans="2:18" x14ac:dyDescent="0.35">
      <c r="B169" s="3"/>
      <c r="D169" t="s">
        <v>205</v>
      </c>
      <c r="E169" s="2">
        <f ca="1">E168/E130</f>
        <v>23528957.01917088</v>
      </c>
      <c r="G169" s="122"/>
      <c r="M169" s="122"/>
      <c r="O169" s="3" t="s">
        <v>274</v>
      </c>
      <c r="Q169" t="s">
        <v>83</v>
      </c>
      <c r="R169" s="22">
        <f ca="1">StreamTable(R168,"Water")</f>
        <v>417376.36774552276</v>
      </c>
    </row>
    <row r="170" spans="2:18" x14ac:dyDescent="0.35">
      <c r="B170" s="3" t="s">
        <v>206</v>
      </c>
      <c r="D170" t="s">
        <v>83</v>
      </c>
      <c r="E170" s="2">
        <f ca="1">E168/Hvap_H2O</f>
        <v>1344511.8296669074</v>
      </c>
      <c r="G170" s="122"/>
      <c r="M170" s="122"/>
      <c r="O170" s="3" t="s">
        <v>191</v>
      </c>
      <c r="Q170" t="s">
        <v>7</v>
      </c>
      <c r="R170" s="2">
        <f ca="1">R169*Hvap_H2O</f>
        <v>876490372.26559782</v>
      </c>
    </row>
    <row r="171" spans="2:18" x14ac:dyDescent="0.35">
      <c r="B171" s="3"/>
      <c r="D171" t="s">
        <v>195</v>
      </c>
      <c r="E171" s="2">
        <f ca="1">E170/E130</f>
        <v>11204.265247224228</v>
      </c>
      <c r="G171" s="122"/>
      <c r="M171" s="122"/>
    </row>
    <row r="172" spans="2:18" x14ac:dyDescent="0.35">
      <c r="G172" s="122"/>
      <c r="M172" s="122"/>
      <c r="O172" s="152" t="s">
        <v>216</v>
      </c>
      <c r="P172" s="152"/>
      <c r="Q172" s="152"/>
      <c r="R172" s="152"/>
    </row>
    <row r="173" spans="2:18" x14ac:dyDescent="0.35">
      <c r="B173" s="152" t="s">
        <v>227</v>
      </c>
      <c r="C173" s="152"/>
      <c r="D173" s="152"/>
      <c r="E173" s="152"/>
      <c r="G173" s="122"/>
      <c r="M173" s="122"/>
      <c r="O173" s="3" t="s">
        <v>191</v>
      </c>
      <c r="Q173" t="s">
        <v>7</v>
      </c>
      <c r="R173" s="2">
        <f ca="1">R170+R165+R159</f>
        <v>1054170880.5384917</v>
      </c>
    </row>
    <row r="174" spans="2:18" x14ac:dyDescent="0.35">
      <c r="B174" s="3" t="s">
        <v>209</v>
      </c>
      <c r="D174" s="35" t="s">
        <v>5</v>
      </c>
      <c r="E174" s="102">
        <v>500</v>
      </c>
      <c r="G174" s="122"/>
      <c r="M174" s="122"/>
      <c r="O174" s="3" t="s">
        <v>206</v>
      </c>
      <c r="Q174" t="s">
        <v>83</v>
      </c>
      <c r="R174" s="2">
        <f ca="1">R173/Hvap_H2O</f>
        <v>501986.13358975796</v>
      </c>
    </row>
    <row r="175" spans="2:18" x14ac:dyDescent="0.35">
      <c r="B175" s="3" t="s">
        <v>192</v>
      </c>
      <c r="D175" t="s">
        <v>83</v>
      </c>
      <c r="E175" s="22">
        <f ca="1">StreamTable(E174,"Mass per batch")</f>
        <v>2261059.6416746508</v>
      </c>
      <c r="G175" s="122"/>
      <c r="M175" s="122"/>
      <c r="Q175" t="s">
        <v>195</v>
      </c>
      <c r="R175" s="2">
        <f ca="1">R174/R129</f>
        <v>4183.2177799146493</v>
      </c>
    </row>
    <row r="176" spans="2:18" x14ac:dyDescent="0.35">
      <c r="B176" s="3" t="s">
        <v>204</v>
      </c>
      <c r="D176" t="s">
        <v>3</v>
      </c>
      <c r="E176" s="113">
        <v>100</v>
      </c>
      <c r="G176" s="122"/>
      <c r="M176" s="122"/>
      <c r="O176" s="142"/>
      <c r="P176" s="142"/>
      <c r="Q176" s="142"/>
      <c r="R176" s="142"/>
    </row>
    <row r="177" spans="2:13" x14ac:dyDescent="0.35">
      <c r="B177" s="3" t="s">
        <v>208</v>
      </c>
      <c r="D177" t="s">
        <v>3</v>
      </c>
      <c r="E177" s="113">
        <v>25</v>
      </c>
      <c r="G177" s="122"/>
      <c r="M177" s="122"/>
    </row>
    <row r="178" spans="2:13" x14ac:dyDescent="0.35">
      <c r="B178" s="3" t="s">
        <v>168</v>
      </c>
      <c r="D178" t="s">
        <v>7</v>
      </c>
      <c r="E178" s="2">
        <f ca="1">(E177-E176)*Cp_H2O*E175</f>
        <v>-708842197.66500306</v>
      </c>
      <c r="G178" s="122"/>
      <c r="M178" s="122"/>
    </row>
    <row r="179" spans="2:13" x14ac:dyDescent="0.35">
      <c r="B179" s="3" t="s">
        <v>230</v>
      </c>
      <c r="D179" t="s">
        <v>83</v>
      </c>
      <c r="E179" s="2">
        <f ca="1">E178/(Cp_H2O*(T_ChilledWater_Supply-T_ChilledWater_Return))</f>
        <v>33915894.625119768</v>
      </c>
      <c r="G179" s="122"/>
      <c r="M179" s="122"/>
    </row>
    <row r="180" spans="2:13" x14ac:dyDescent="0.35">
      <c r="B180" s="3"/>
      <c r="D180" t="s">
        <v>195</v>
      </c>
      <c r="E180" s="2">
        <f ca="1">E179/E130</f>
        <v>282632.45520933141</v>
      </c>
      <c r="G180" s="122"/>
      <c r="M180" s="122"/>
    </row>
    <row r="181" spans="2:13" x14ac:dyDescent="0.35">
      <c r="B181" s="3"/>
      <c r="E181" s="2"/>
      <c r="G181" s="122"/>
      <c r="M181" s="122"/>
    </row>
    <row r="182" spans="2:13" x14ac:dyDescent="0.35">
      <c r="B182" s="152" t="s">
        <v>329</v>
      </c>
      <c r="C182" s="152"/>
      <c r="D182" s="152"/>
      <c r="E182" s="152"/>
      <c r="G182" s="122"/>
      <c r="M182" s="122"/>
    </row>
    <row r="183" spans="2:13" x14ac:dyDescent="0.35">
      <c r="B183" s="3" t="s">
        <v>342</v>
      </c>
      <c r="D183" t="s">
        <v>343</v>
      </c>
      <c r="E183" s="109">
        <v>2.1</v>
      </c>
      <c r="G183" s="122"/>
      <c r="M183" s="122"/>
    </row>
    <row r="184" spans="2:13" x14ac:dyDescent="0.35">
      <c r="B184" s="3" t="s">
        <v>327</v>
      </c>
      <c r="D184" t="s">
        <v>100</v>
      </c>
      <c r="E184" s="104">
        <f>L61</f>
        <v>2</v>
      </c>
      <c r="G184" s="122"/>
      <c r="M184" s="122"/>
    </row>
    <row r="185" spans="2:13" x14ac:dyDescent="0.35">
      <c r="B185" s="3" t="s">
        <v>272</v>
      </c>
      <c r="D185" t="s">
        <v>44</v>
      </c>
      <c r="E185" s="2">
        <f ca="1">E136</f>
        <v>29.302154210889718</v>
      </c>
      <c r="G185" s="122"/>
      <c r="M185" s="122"/>
    </row>
    <row r="186" spans="2:13" x14ac:dyDescent="0.35">
      <c r="B186" s="3" t="s">
        <v>344</v>
      </c>
      <c r="D186" t="s">
        <v>5</v>
      </c>
      <c r="E186" s="109">
        <v>2.5</v>
      </c>
      <c r="G186" s="122"/>
      <c r="M186" s="122"/>
    </row>
    <row r="187" spans="2:13" x14ac:dyDescent="0.35">
      <c r="B187" s="3" t="s">
        <v>345</v>
      </c>
      <c r="D187" t="s">
        <v>346</v>
      </c>
      <c r="E187" s="2">
        <f ca="1">(4*E185/E186/PI())^(1/3)</f>
        <v>2.4620104191944625</v>
      </c>
      <c r="G187" s="122"/>
      <c r="M187" s="122"/>
    </row>
    <row r="188" spans="2:13" x14ac:dyDescent="0.35">
      <c r="B188" s="3" t="s">
        <v>347</v>
      </c>
      <c r="D188" t="s">
        <v>346</v>
      </c>
      <c r="E188" s="2">
        <f ca="1">PI()*E187</f>
        <v>7.7346338460028505</v>
      </c>
      <c r="G188" s="122"/>
      <c r="M188" s="122"/>
    </row>
    <row r="189" spans="2:13" x14ac:dyDescent="0.35">
      <c r="B189" s="3" t="s">
        <v>348</v>
      </c>
      <c r="D189" t="s">
        <v>140</v>
      </c>
      <c r="E189" s="2">
        <f ca="1">E183*E188</f>
        <v>16.242731076605988</v>
      </c>
      <c r="G189" s="122"/>
      <c r="M189" s="122"/>
    </row>
    <row r="190" spans="2:13" x14ac:dyDescent="0.35">
      <c r="B190" s="3" t="s">
        <v>349</v>
      </c>
      <c r="D190" t="s">
        <v>140</v>
      </c>
      <c r="E190" s="2">
        <f ca="1">E189*E137</f>
        <v>32.485462153211976</v>
      </c>
      <c r="G190" s="122"/>
      <c r="M190" s="122"/>
    </row>
    <row r="191" spans="2:13" x14ac:dyDescent="0.35">
      <c r="B191" s="3" t="s">
        <v>350</v>
      </c>
      <c r="D191" t="s">
        <v>44</v>
      </c>
      <c r="E191" s="2">
        <f ca="1">E190*E184</f>
        <v>64.970924306423953</v>
      </c>
      <c r="G191" s="122"/>
      <c r="M191" s="122"/>
    </row>
    <row r="192" spans="2:13" x14ac:dyDescent="0.35">
      <c r="B192" s="143"/>
      <c r="C192" s="142"/>
      <c r="D192" s="142"/>
      <c r="E192" s="144"/>
      <c r="G192" s="122"/>
      <c r="M192" s="122"/>
    </row>
    <row r="193" spans="1:15" x14ac:dyDescent="0.35">
      <c r="B193" s="3"/>
      <c r="E193" s="2"/>
      <c r="G193" s="122"/>
      <c r="M193" s="122"/>
    </row>
    <row r="194" spans="1:15" x14ac:dyDescent="0.35">
      <c r="G194" s="122"/>
      <c r="M194" s="122"/>
    </row>
    <row r="195" spans="1:15" x14ac:dyDescent="0.35">
      <c r="G195" s="122"/>
      <c r="M195" s="122"/>
    </row>
    <row r="196" spans="1:15" x14ac:dyDescent="0.35">
      <c r="G196" s="122"/>
      <c r="M196" s="122"/>
    </row>
    <row r="197" spans="1:15" x14ac:dyDescent="0.35">
      <c r="G197" s="122"/>
      <c r="M197" s="122"/>
    </row>
    <row r="198" spans="1:15" s="136" customFormat="1" ht="21" x14ac:dyDescent="0.5">
      <c r="A198" s="137" t="s">
        <v>266</v>
      </c>
      <c r="G198" s="138"/>
      <c r="M198" s="138"/>
    </row>
    <row r="199" spans="1:15" x14ac:dyDescent="0.35">
      <c r="G199" s="139"/>
    </row>
    <row r="200" spans="1:15" x14ac:dyDescent="0.35">
      <c r="G200" s="122"/>
    </row>
    <row r="201" spans="1:15" ht="23.5" x14ac:dyDescent="0.55000000000000004">
      <c r="B201" s="140" t="s">
        <v>170</v>
      </c>
      <c r="C201" s="119"/>
      <c r="D201" s="119"/>
      <c r="E201" s="120" t="s">
        <v>171</v>
      </c>
      <c r="G201" s="122"/>
      <c r="I201" s="140" t="s">
        <v>128</v>
      </c>
      <c r="J201" s="119"/>
      <c r="K201" s="119"/>
      <c r="L201" s="120" t="s">
        <v>131</v>
      </c>
      <c r="M201" s="120" t="s">
        <v>132</v>
      </c>
      <c r="N201" s="120" t="s">
        <v>133</v>
      </c>
      <c r="O201" s="120" t="s">
        <v>134</v>
      </c>
    </row>
    <row r="202" spans="1:15" x14ac:dyDescent="0.35">
      <c r="B202" s="3" t="s">
        <v>1</v>
      </c>
      <c r="D202" t="s">
        <v>5</v>
      </c>
      <c r="E202" s="102">
        <v>205</v>
      </c>
      <c r="G202" s="122"/>
      <c r="I202" s="3" t="s">
        <v>1</v>
      </c>
      <c r="K202" t="s">
        <v>5</v>
      </c>
      <c r="L202" s="102">
        <v>5</v>
      </c>
      <c r="M202" s="102">
        <v>10</v>
      </c>
      <c r="N202" s="102">
        <v>105</v>
      </c>
      <c r="O202" s="102">
        <v>300</v>
      </c>
    </row>
    <row r="203" spans="1:15" x14ac:dyDescent="0.35">
      <c r="B203" s="3" t="s">
        <v>201</v>
      </c>
      <c r="D203" t="s">
        <v>100</v>
      </c>
      <c r="E203" s="25">
        <f>O57</f>
        <v>500</v>
      </c>
      <c r="G203" s="122"/>
      <c r="I203" s="3" t="s">
        <v>130</v>
      </c>
      <c r="K203" t="s">
        <v>100</v>
      </c>
      <c r="L203" s="25">
        <f>P57</f>
        <v>3</v>
      </c>
      <c r="M203" s="25">
        <f>Q57</f>
        <v>10</v>
      </c>
      <c r="N203" s="25">
        <f>R57</f>
        <v>1</v>
      </c>
      <c r="O203" s="25">
        <f>S57</f>
        <v>3</v>
      </c>
    </row>
    <row r="204" spans="1:15" x14ac:dyDescent="0.35">
      <c r="B204" s="3" t="s">
        <v>248</v>
      </c>
      <c r="D204" t="s">
        <v>135</v>
      </c>
      <c r="E204" s="103">
        <v>1</v>
      </c>
      <c r="G204" s="122"/>
      <c r="I204" s="3" t="s">
        <v>141</v>
      </c>
      <c r="K204" t="s">
        <v>135</v>
      </c>
      <c r="L204" s="103">
        <v>1</v>
      </c>
      <c r="M204" s="103">
        <v>1</v>
      </c>
      <c r="N204" s="103">
        <v>1</v>
      </c>
      <c r="O204" s="103">
        <v>1</v>
      </c>
    </row>
    <row r="205" spans="1:15" x14ac:dyDescent="0.35">
      <c r="B205" s="3" t="s">
        <v>249</v>
      </c>
      <c r="D205" t="s">
        <v>135</v>
      </c>
      <c r="E205" s="103">
        <v>6</v>
      </c>
      <c r="G205" s="122"/>
      <c r="I205" s="3" t="s">
        <v>139</v>
      </c>
      <c r="K205" t="s">
        <v>5</v>
      </c>
      <c r="L205" s="100">
        <v>0.7</v>
      </c>
      <c r="M205" s="100">
        <v>0.7</v>
      </c>
      <c r="N205" s="100">
        <v>0.7</v>
      </c>
      <c r="O205" s="100">
        <v>0.7</v>
      </c>
    </row>
    <row r="206" spans="1:15" x14ac:dyDescent="0.35">
      <c r="B206" s="3" t="s">
        <v>155</v>
      </c>
      <c r="D206" t="s">
        <v>3</v>
      </c>
      <c r="E206" s="103">
        <v>25</v>
      </c>
      <c r="G206" s="122"/>
      <c r="I206" s="118" t="s">
        <v>337</v>
      </c>
      <c r="K206" t="s">
        <v>142</v>
      </c>
      <c r="L206" s="103">
        <v>300</v>
      </c>
      <c r="M206" s="103">
        <v>300</v>
      </c>
      <c r="N206" s="103">
        <v>300</v>
      </c>
      <c r="O206" s="103">
        <v>4</v>
      </c>
    </row>
    <row r="207" spans="1:15" x14ac:dyDescent="0.35">
      <c r="B207" s="3" t="s">
        <v>250</v>
      </c>
      <c r="D207" t="s">
        <v>3</v>
      </c>
      <c r="E207" s="103">
        <v>40</v>
      </c>
      <c r="G207" s="122"/>
    </row>
    <row r="208" spans="1:15" x14ac:dyDescent="0.35">
      <c r="B208" s="116" t="s">
        <v>139</v>
      </c>
      <c r="D208" t="s">
        <v>5</v>
      </c>
      <c r="E208" s="107">
        <v>0.7</v>
      </c>
      <c r="G208" s="122"/>
    </row>
    <row r="209" spans="2:15" x14ac:dyDescent="0.35">
      <c r="B209" s="118" t="s">
        <v>337</v>
      </c>
      <c r="D209" t="s">
        <v>142</v>
      </c>
      <c r="E209" s="113">
        <v>3000</v>
      </c>
      <c r="G209" s="122"/>
    </row>
    <row r="210" spans="2:15" x14ac:dyDescent="0.35">
      <c r="G210" s="122"/>
    </row>
    <row r="211" spans="2:15" x14ac:dyDescent="0.35">
      <c r="B211" s="152" t="s">
        <v>246</v>
      </c>
      <c r="C211" s="152"/>
      <c r="D211" s="152"/>
      <c r="E211" s="152"/>
      <c r="G211" s="122"/>
      <c r="I211" s="152" t="s">
        <v>246</v>
      </c>
      <c r="J211" s="152"/>
      <c r="K211" s="152"/>
      <c r="L211" s="152"/>
      <c r="M211" s="152"/>
      <c r="N211" s="152"/>
      <c r="O211" s="152"/>
    </row>
    <row r="212" spans="2:15" x14ac:dyDescent="0.35">
      <c r="B212" s="3" t="s">
        <v>169</v>
      </c>
      <c r="D212" t="s">
        <v>142</v>
      </c>
      <c r="E212" s="25">
        <f ca="1">E234</f>
        <v>1980.2050377755136</v>
      </c>
      <c r="G212" s="122"/>
      <c r="I212" s="3" t="s">
        <v>169</v>
      </c>
      <c r="K212" t="s">
        <v>142</v>
      </c>
      <c r="L212" s="18">
        <f ca="1">L230</f>
        <v>0.42308030958495979</v>
      </c>
      <c r="M212" s="18">
        <f ca="1">M230</f>
        <v>12.47876762339766</v>
      </c>
      <c r="N212" s="18">
        <f ca="1">N230</f>
        <v>13.953406767090339</v>
      </c>
      <c r="O212" s="18">
        <f ca="1">O230</f>
        <v>3.8759463241917618</v>
      </c>
    </row>
    <row r="213" spans="2:15" x14ac:dyDescent="0.35">
      <c r="B213" s="3" t="s">
        <v>138</v>
      </c>
      <c r="D213" t="s">
        <v>5</v>
      </c>
      <c r="E213" s="25">
        <f ca="1">E233</f>
        <v>2</v>
      </c>
      <c r="G213" s="122"/>
      <c r="I213" s="3" t="s">
        <v>138</v>
      </c>
      <c r="K213" t="s">
        <v>5</v>
      </c>
      <c r="L213" s="110">
        <f ca="1">L229</f>
        <v>1</v>
      </c>
      <c r="M213" s="110">
        <f ca="1">M229</f>
        <v>1</v>
      </c>
      <c r="N213" s="110">
        <f ca="1">N229</f>
        <v>1</v>
      </c>
      <c r="O213" s="110">
        <f ca="1">O229</f>
        <v>12</v>
      </c>
    </row>
    <row r="214" spans="2:15" x14ac:dyDescent="0.35">
      <c r="B214" s="3" t="s">
        <v>244</v>
      </c>
      <c r="D214" t="s">
        <v>214</v>
      </c>
      <c r="E214" s="2">
        <f ca="1">E232</f>
        <v>1980205.0377755135</v>
      </c>
      <c r="G214" s="122"/>
      <c r="I214" s="3" t="s">
        <v>244</v>
      </c>
      <c r="K214" t="s">
        <v>214</v>
      </c>
      <c r="L214" s="2">
        <f ca="1">L228</f>
        <v>1.2692409287548794</v>
      </c>
      <c r="M214" s="2">
        <f ca="1">M228</f>
        <v>124.7876762339766</v>
      </c>
      <c r="N214" s="2">
        <f ca="1">N228</f>
        <v>13.953406767090339</v>
      </c>
      <c r="O214" s="2">
        <f ca="1">O228</f>
        <v>139.53406767090343</v>
      </c>
    </row>
    <row r="215" spans="2:15" x14ac:dyDescent="0.35">
      <c r="B215" s="3" t="s">
        <v>207</v>
      </c>
      <c r="D215" t="s">
        <v>83</v>
      </c>
      <c r="E215" s="22" t="s">
        <v>5</v>
      </c>
      <c r="G215" s="122"/>
      <c r="I215" s="3" t="s">
        <v>207</v>
      </c>
      <c r="K215" t="s">
        <v>83</v>
      </c>
      <c r="L215" s="22" t="s">
        <v>5</v>
      </c>
      <c r="M215" s="22" t="s">
        <v>5</v>
      </c>
      <c r="N215" s="22" t="s">
        <v>5</v>
      </c>
      <c r="O215" s="22" t="s">
        <v>5</v>
      </c>
    </row>
    <row r="216" spans="2:15" x14ac:dyDescent="0.35">
      <c r="B216" s="3" t="s">
        <v>245</v>
      </c>
      <c r="D216" t="s">
        <v>83</v>
      </c>
      <c r="E216" s="22">
        <f ca="1">E243</f>
        <v>232494021.51486239</v>
      </c>
      <c r="G216" s="122"/>
      <c r="I216" s="3" t="s">
        <v>245</v>
      </c>
      <c r="K216" t="s">
        <v>83</v>
      </c>
      <c r="L216" s="22" t="s">
        <v>5</v>
      </c>
      <c r="M216" s="22" t="s">
        <v>5</v>
      </c>
      <c r="N216" s="22" t="s">
        <v>5</v>
      </c>
      <c r="O216" s="22" t="s">
        <v>5</v>
      </c>
    </row>
    <row r="217" spans="2:15" x14ac:dyDescent="0.35">
      <c r="B217" s="3" t="s">
        <v>194</v>
      </c>
      <c r="D217" t="s">
        <v>83</v>
      </c>
      <c r="E217" s="22" t="s">
        <v>5</v>
      </c>
      <c r="G217" s="122"/>
      <c r="I217" s="3" t="s">
        <v>194</v>
      </c>
      <c r="K217" t="s">
        <v>83</v>
      </c>
      <c r="L217" s="22" t="s">
        <v>5</v>
      </c>
      <c r="M217" s="22" t="s">
        <v>5</v>
      </c>
      <c r="N217" s="22" t="s">
        <v>5</v>
      </c>
      <c r="O217" s="22" t="s">
        <v>5</v>
      </c>
    </row>
    <row r="218" spans="2:15" x14ac:dyDescent="0.35">
      <c r="G218" s="122"/>
    </row>
    <row r="219" spans="2:15" x14ac:dyDescent="0.35">
      <c r="B219" s="152" t="s">
        <v>247</v>
      </c>
      <c r="C219" s="152"/>
      <c r="D219" s="152"/>
      <c r="E219" s="152"/>
      <c r="G219" s="122"/>
      <c r="I219" s="152" t="s">
        <v>247</v>
      </c>
      <c r="J219" s="152"/>
      <c r="K219" s="152"/>
      <c r="L219" s="152"/>
      <c r="M219" s="152"/>
      <c r="N219" s="152"/>
      <c r="O219" s="152"/>
    </row>
    <row r="220" spans="2:15" x14ac:dyDescent="0.35">
      <c r="B220" s="3" t="s">
        <v>201</v>
      </c>
      <c r="D220" t="s">
        <v>91</v>
      </c>
      <c r="E220" s="2">
        <f>E203*s_per_h</f>
        <v>1800000</v>
      </c>
      <c r="G220" s="122"/>
      <c r="I220" s="3" t="s">
        <v>144</v>
      </c>
      <c r="K220" t="s">
        <v>44</v>
      </c>
      <c r="L220" s="22">
        <f ca="1">StreamTable(L202,"Volume")</f>
        <v>31.984871404622961</v>
      </c>
      <c r="M220" s="22">
        <f ca="1">StreamTable(M202,"Volume")</f>
        <v>3144.6494410962105</v>
      </c>
      <c r="N220" s="22">
        <f ca="1">StreamTable(N202,"Volume")</f>
        <v>351.62585053067659</v>
      </c>
      <c r="O220" s="22">
        <f ca="1">StreamTable(O202,"Volume")</f>
        <v>3516.2585053067664</v>
      </c>
    </row>
    <row r="221" spans="2:15" x14ac:dyDescent="0.35">
      <c r="B221" s="3" t="s">
        <v>275</v>
      </c>
      <c r="D221" t="s">
        <v>44</v>
      </c>
      <c r="E221" s="22">
        <f ca="1">StreamTable(E202,"Volume")</f>
        <v>21327230.506803095</v>
      </c>
      <c r="G221" s="122"/>
      <c r="I221" s="3" t="s">
        <v>130</v>
      </c>
      <c r="K221" t="s">
        <v>91</v>
      </c>
      <c r="L221" s="22">
        <f>L203*s_per_h</f>
        <v>10800</v>
      </c>
      <c r="M221" s="22">
        <f>M203*s_per_h</f>
        <v>36000</v>
      </c>
      <c r="N221" s="22">
        <f>N203*s_per_h</f>
        <v>3600</v>
      </c>
      <c r="O221" s="22">
        <f>O203*s_per_h</f>
        <v>10800</v>
      </c>
    </row>
    <row r="222" spans="2:15" x14ac:dyDescent="0.35">
      <c r="B222" s="3" t="s">
        <v>112</v>
      </c>
      <c r="D222" t="s">
        <v>137</v>
      </c>
      <c r="E222" s="22">
        <f ca="1">E221/E220</f>
        <v>11.848461392668387</v>
      </c>
      <c r="G222" s="122"/>
      <c r="I222" s="3" t="s">
        <v>143</v>
      </c>
      <c r="K222" t="s">
        <v>137</v>
      </c>
      <c r="L222" s="22">
        <f ca="1">L220/L221</f>
        <v>2.9615621670947188E-3</v>
      </c>
      <c r="M222" s="22">
        <f ca="1">M220/M221</f>
        <v>8.7351373363783624E-2</v>
      </c>
      <c r="N222" s="22">
        <f ca="1">N220/N221</f>
        <v>9.7673847369632388E-2</v>
      </c>
      <c r="O222" s="22">
        <f ca="1">O220/O221</f>
        <v>0.325579491232108</v>
      </c>
    </row>
    <row r="223" spans="2:15" x14ac:dyDescent="0.35">
      <c r="B223" s="3"/>
      <c r="D223" t="s">
        <v>140</v>
      </c>
      <c r="E223" s="2">
        <f ca="1">E222*s_per_h</f>
        <v>42654.461013606197</v>
      </c>
      <c r="G223" s="122"/>
      <c r="I223" s="3"/>
      <c r="L223" s="22"/>
      <c r="M223" s="22"/>
      <c r="N223" s="22"/>
      <c r="O223" s="22"/>
    </row>
    <row r="224" spans="2:15" x14ac:dyDescent="0.35">
      <c r="G224" s="122"/>
      <c r="I224" s="152" t="s">
        <v>231</v>
      </c>
      <c r="J224" s="152"/>
      <c r="K224" s="152"/>
      <c r="L224" s="152"/>
      <c r="M224" s="152"/>
      <c r="N224" s="152"/>
      <c r="O224" s="152"/>
    </row>
    <row r="225" spans="2:15" x14ac:dyDescent="0.35">
      <c r="B225" s="152" t="s">
        <v>231</v>
      </c>
      <c r="C225" s="152"/>
      <c r="D225" s="152"/>
      <c r="E225" s="152"/>
      <c r="G225" s="122"/>
      <c r="I225" s="3" t="s">
        <v>141</v>
      </c>
      <c r="K225" t="s">
        <v>181</v>
      </c>
      <c r="L225" s="22">
        <f>L204*kPa_per_bar</f>
        <v>99.999999999999986</v>
      </c>
      <c r="M225" s="22">
        <f>M204*kPa_per_bar</f>
        <v>99.999999999999986</v>
      </c>
      <c r="N225" s="22">
        <f>N204*kPa_per_bar</f>
        <v>99.999999999999986</v>
      </c>
      <c r="O225" s="22">
        <f>O204*kPa_per_bar</f>
        <v>99.999999999999986</v>
      </c>
    </row>
    <row r="226" spans="2:15" x14ac:dyDescent="0.35">
      <c r="B226" s="116" t="s">
        <v>173</v>
      </c>
      <c r="D226" t="s">
        <v>5</v>
      </c>
      <c r="E226" s="106">
        <v>1.4</v>
      </c>
      <c r="G226" s="122"/>
      <c r="I226" s="3" t="s">
        <v>176</v>
      </c>
      <c r="K226" t="s">
        <v>142</v>
      </c>
      <c r="L226" s="22">
        <f ca="1">L225*L222</f>
        <v>0.29615621670947184</v>
      </c>
      <c r="M226" s="22">
        <f ca="1">M225*M222</f>
        <v>8.7351373363783615</v>
      </c>
      <c r="N226" s="22">
        <f ca="1">N225*N222</f>
        <v>9.7673847369632369</v>
      </c>
      <c r="O226" s="22">
        <f ca="1">O225*O222</f>
        <v>32.557949123210797</v>
      </c>
    </row>
    <row r="227" spans="2:15" x14ac:dyDescent="0.35">
      <c r="B227" s="117" t="s">
        <v>174</v>
      </c>
      <c r="E227" s="56">
        <f>E226/(E226-1)</f>
        <v>3.5000000000000004</v>
      </c>
      <c r="G227" s="122"/>
      <c r="I227" s="3" t="s">
        <v>178</v>
      </c>
      <c r="K227" t="s">
        <v>142</v>
      </c>
      <c r="L227" s="22">
        <f ca="1">L226/L205</f>
        <v>0.42308030958495979</v>
      </c>
      <c r="M227" s="22">
        <f ca="1">M226/M205</f>
        <v>12.47876762339766</v>
      </c>
      <c r="N227" s="22">
        <f ca="1">N226/N205</f>
        <v>13.953406767090339</v>
      </c>
      <c r="O227" s="22">
        <f ca="1">O226/O205</f>
        <v>46.511355890301139</v>
      </c>
    </row>
    <row r="228" spans="2:15" x14ac:dyDescent="0.35">
      <c r="B228" s="3" t="s">
        <v>175</v>
      </c>
      <c r="D228" t="s">
        <v>5</v>
      </c>
      <c r="E228" s="2">
        <f>E205/E204</f>
        <v>6</v>
      </c>
      <c r="G228" s="122"/>
      <c r="I228" s="3"/>
      <c r="K228" t="s">
        <v>214</v>
      </c>
      <c r="L228" s="2">
        <f ca="1">L227*L203</f>
        <v>1.2692409287548794</v>
      </c>
      <c r="M228" s="2">
        <f ca="1">M227*M203</f>
        <v>124.7876762339766</v>
      </c>
      <c r="N228" s="2">
        <f ca="1">N227*N203</f>
        <v>13.953406767090339</v>
      </c>
      <c r="O228" s="2">
        <f ca="1">O227*O203</f>
        <v>139.53406767090343</v>
      </c>
    </row>
    <row r="229" spans="2:15" x14ac:dyDescent="0.35">
      <c r="B229" s="118" t="s">
        <v>172</v>
      </c>
      <c r="D229" t="s">
        <v>181</v>
      </c>
      <c r="E229" s="2">
        <f>E204*kPa_per_bar</f>
        <v>99.999999999999986</v>
      </c>
      <c r="G229" s="122"/>
      <c r="I229" s="3" t="s">
        <v>138</v>
      </c>
      <c r="K229" t="s">
        <v>5</v>
      </c>
      <c r="L229">
        <f ca="1">ROUNDUP(L227/L206,0)</f>
        <v>1</v>
      </c>
      <c r="M229">
        <f ca="1">ROUNDUP(M227/M206,0)</f>
        <v>1</v>
      </c>
      <c r="N229">
        <f ca="1">ROUNDUP(N227/N206,0)</f>
        <v>1</v>
      </c>
      <c r="O229">
        <f ca="1">ROUNDUP(O227/O206,0)</f>
        <v>12</v>
      </c>
    </row>
    <row r="230" spans="2:15" x14ac:dyDescent="0.35">
      <c r="B230" s="3" t="s">
        <v>176</v>
      </c>
      <c r="D230" t="s">
        <v>142</v>
      </c>
      <c r="E230" s="2">
        <f ca="1">E229*E222*E227*(E228^(1/E227)-1)</f>
        <v>2772.2870528857188</v>
      </c>
      <c r="G230" s="122"/>
      <c r="I230" s="3" t="s">
        <v>338</v>
      </c>
      <c r="K230" t="s">
        <v>142</v>
      </c>
      <c r="L230" s="2">
        <f ca="1">L227/L229</f>
        <v>0.42308030958495979</v>
      </c>
      <c r="M230" s="2">
        <f ca="1">M227/M229</f>
        <v>12.47876762339766</v>
      </c>
      <c r="N230" s="2">
        <f ca="1">N227/N229</f>
        <v>13.953406767090339</v>
      </c>
      <c r="O230" s="2">
        <f ca="1">O227/O229</f>
        <v>3.8759463241917618</v>
      </c>
    </row>
    <row r="231" spans="2:15" x14ac:dyDescent="0.35">
      <c r="B231" s="118" t="s">
        <v>178</v>
      </c>
      <c r="D231" t="s">
        <v>142</v>
      </c>
      <c r="E231" s="2">
        <f ca="1">E230/E208</f>
        <v>3960.4100755510271</v>
      </c>
      <c r="G231" s="122"/>
      <c r="I231" s="142"/>
      <c r="J231" s="142"/>
      <c r="K231" s="142"/>
      <c r="L231" s="142"/>
      <c r="M231" s="142"/>
      <c r="N231" s="142"/>
      <c r="O231" s="142"/>
    </row>
    <row r="232" spans="2:15" x14ac:dyDescent="0.35">
      <c r="B232" s="3"/>
      <c r="D232" t="s">
        <v>214</v>
      </c>
      <c r="E232" s="2">
        <f ca="1">E231*E203</f>
        <v>1980205.0377755135</v>
      </c>
      <c r="G232" s="122"/>
    </row>
    <row r="233" spans="2:15" x14ac:dyDescent="0.35">
      <c r="B233" s="3" t="s">
        <v>138</v>
      </c>
      <c r="D233" t="s">
        <v>5</v>
      </c>
      <c r="E233">
        <f ca="1">ROUNDUP(E231/E209,0)</f>
        <v>2</v>
      </c>
      <c r="G233" s="122"/>
    </row>
    <row r="234" spans="2:15" x14ac:dyDescent="0.35">
      <c r="B234" s="3" t="s">
        <v>338</v>
      </c>
      <c r="D234" t="s">
        <v>142</v>
      </c>
      <c r="E234" s="2">
        <f ca="1">E231/E233</f>
        <v>1980.2050377755136</v>
      </c>
      <c r="G234" s="122"/>
    </row>
    <row r="235" spans="2:15" x14ac:dyDescent="0.35">
      <c r="G235" s="122"/>
    </row>
    <row r="236" spans="2:15" x14ac:dyDescent="0.35">
      <c r="B236" s="152" t="s">
        <v>241</v>
      </c>
      <c r="C236" s="152"/>
      <c r="D236" s="152"/>
      <c r="E236" s="152"/>
      <c r="G236" s="122"/>
    </row>
    <row r="237" spans="2:15" x14ac:dyDescent="0.35">
      <c r="B237" s="3" t="s">
        <v>242</v>
      </c>
      <c r="D237" t="s">
        <v>83</v>
      </c>
      <c r="E237" s="22">
        <f ca="1">StreamTable(E202,"Mass per batch")</f>
        <v>26101937.831263468</v>
      </c>
      <c r="G237" s="122"/>
    </row>
    <row r="238" spans="2:15" x14ac:dyDescent="0.35">
      <c r="B238" s="3" t="s">
        <v>155</v>
      </c>
      <c r="D238" t="s">
        <v>180</v>
      </c>
      <c r="E238" s="25">
        <f>E206+273.15</f>
        <v>298.14999999999998</v>
      </c>
      <c r="G238" s="122"/>
    </row>
    <row r="239" spans="2:15" x14ac:dyDescent="0.35">
      <c r="B239" s="3" t="s">
        <v>251</v>
      </c>
      <c r="D239" t="s">
        <v>180</v>
      </c>
      <c r="E239" s="25">
        <f>E238*E228^(1/E227)</f>
        <v>497.46638799214793</v>
      </c>
      <c r="G239" s="122"/>
    </row>
    <row r="240" spans="2:15" x14ac:dyDescent="0.35">
      <c r="B240" s="3" t="s">
        <v>250</v>
      </c>
      <c r="D240" t="s">
        <v>180</v>
      </c>
      <c r="E240" s="110">
        <f>E207+273.15</f>
        <v>313.14999999999998</v>
      </c>
      <c r="G240" s="122"/>
    </row>
    <row r="241" spans="1:13" x14ac:dyDescent="0.35">
      <c r="B241" s="3" t="s">
        <v>168</v>
      </c>
      <c r="D241" t="s">
        <v>7</v>
      </c>
      <c r="E241" s="2">
        <f ca="1">(E240-E239)*Cp_air*E237</f>
        <v>-4859125049.6606236</v>
      </c>
      <c r="G241" s="122"/>
    </row>
    <row r="242" spans="1:13" x14ac:dyDescent="0.35">
      <c r="E242" s="2">
        <f ca="1">E241/500</f>
        <v>-9718250.099321248</v>
      </c>
      <c r="G242" s="122"/>
    </row>
    <row r="243" spans="1:13" x14ac:dyDescent="0.35">
      <c r="B243" s="3" t="s">
        <v>243</v>
      </c>
      <c r="D243" t="s">
        <v>83</v>
      </c>
      <c r="E243" s="2">
        <f ca="1">E241/(T_CW_supply-T_CW_return)/Cp_H2O</f>
        <v>232494021.51486239</v>
      </c>
      <c r="G243" s="122"/>
    </row>
    <row r="244" spans="1:13" x14ac:dyDescent="0.35">
      <c r="D244" t="s">
        <v>195</v>
      </c>
      <c r="E244" s="2">
        <f ca="1">E243/E203</f>
        <v>464988.04302972479</v>
      </c>
      <c r="G244" s="122"/>
    </row>
    <row r="245" spans="1:13" x14ac:dyDescent="0.35">
      <c r="B245" s="142"/>
      <c r="C245" s="142"/>
      <c r="D245" s="142"/>
      <c r="E245" s="144"/>
      <c r="G245" s="122"/>
    </row>
    <row r="246" spans="1:13" x14ac:dyDescent="0.35">
      <c r="E246" s="2"/>
      <c r="G246" s="122"/>
    </row>
    <row r="247" spans="1:13" x14ac:dyDescent="0.35">
      <c r="G247" s="122"/>
    </row>
    <row r="248" spans="1:13" x14ac:dyDescent="0.35">
      <c r="G248" s="122"/>
    </row>
    <row r="249" spans="1:13" x14ac:dyDescent="0.35">
      <c r="G249" s="122"/>
    </row>
    <row r="250" spans="1:13" x14ac:dyDescent="0.35">
      <c r="G250" s="122"/>
    </row>
    <row r="251" spans="1:13" x14ac:dyDescent="0.35">
      <c r="G251" s="122"/>
    </row>
    <row r="252" spans="1:13" s="136" customFormat="1" ht="21" x14ac:dyDescent="0.5">
      <c r="A252" s="137" t="s">
        <v>265</v>
      </c>
      <c r="G252" s="138"/>
    </row>
    <row r="253" spans="1:13" x14ac:dyDescent="0.35">
      <c r="G253" s="139"/>
    </row>
    <row r="254" spans="1:13" x14ac:dyDescent="0.35">
      <c r="B254" s="105"/>
      <c r="E254" s="20"/>
      <c r="G254" s="122"/>
    </row>
    <row r="255" spans="1:13" ht="23.5" x14ac:dyDescent="0.55000000000000004">
      <c r="B255" s="140" t="s">
        <v>442</v>
      </c>
      <c r="C255" s="119"/>
      <c r="D255" s="119"/>
      <c r="E255" s="120" t="s">
        <v>152</v>
      </c>
      <c r="F255" s="120" t="s">
        <v>153</v>
      </c>
      <c r="G255" s="122"/>
      <c r="I255" s="140" t="s">
        <v>129</v>
      </c>
      <c r="J255" s="119"/>
      <c r="K255" s="119"/>
      <c r="L255" s="120" t="s">
        <v>210</v>
      </c>
      <c r="M255" s="120" t="s">
        <v>211</v>
      </c>
    </row>
    <row r="256" spans="1:13" x14ac:dyDescent="0.35">
      <c r="B256" s="3" t="s">
        <v>1</v>
      </c>
      <c r="D256" t="s">
        <v>5</v>
      </c>
      <c r="E256" s="102">
        <v>5</v>
      </c>
      <c r="F256" s="102">
        <v>10</v>
      </c>
      <c r="G256" s="122"/>
      <c r="I256" s="3" t="s">
        <v>1</v>
      </c>
      <c r="K256" t="s">
        <v>5</v>
      </c>
      <c r="L256" s="114">
        <v>205</v>
      </c>
      <c r="M256" s="114">
        <v>250</v>
      </c>
    </row>
    <row r="257" spans="2:13" x14ac:dyDescent="0.35">
      <c r="B257" s="3" t="s">
        <v>201</v>
      </c>
      <c r="D257" t="s">
        <v>100</v>
      </c>
      <c r="E257" s="25">
        <f>T57</f>
        <v>3</v>
      </c>
      <c r="F257" s="25">
        <f>U57</f>
        <v>10</v>
      </c>
      <c r="G257" s="122"/>
      <c r="I257" s="3" t="s">
        <v>130</v>
      </c>
      <c r="K257" t="s">
        <v>100</v>
      </c>
      <c r="L257" s="25">
        <f>V57</f>
        <v>500</v>
      </c>
      <c r="M257" s="25">
        <f>W57</f>
        <v>500</v>
      </c>
    </row>
    <row r="258" spans="2:13" x14ac:dyDescent="0.35">
      <c r="B258" s="3" t="s">
        <v>166</v>
      </c>
      <c r="D258" t="s">
        <v>3</v>
      </c>
      <c r="E258" s="99">
        <v>50</v>
      </c>
      <c r="F258" s="99">
        <v>25</v>
      </c>
      <c r="G258" s="122"/>
      <c r="I258" s="3" t="s">
        <v>188</v>
      </c>
      <c r="K258" t="s">
        <v>135</v>
      </c>
      <c r="L258" s="99">
        <v>6</v>
      </c>
      <c r="M258" s="99">
        <v>1</v>
      </c>
    </row>
    <row r="259" spans="2:13" x14ac:dyDescent="0.35">
      <c r="B259" s="3" t="s">
        <v>443</v>
      </c>
      <c r="D259" t="s">
        <v>3</v>
      </c>
      <c r="E259" s="99">
        <v>140</v>
      </c>
      <c r="F259" s="99">
        <v>140</v>
      </c>
      <c r="G259" s="122"/>
      <c r="I259" s="118" t="s">
        <v>339</v>
      </c>
      <c r="K259" t="s">
        <v>140</v>
      </c>
      <c r="L259" s="113">
        <v>14400</v>
      </c>
      <c r="M259" s="113">
        <v>14400</v>
      </c>
    </row>
    <row r="260" spans="2:13" x14ac:dyDescent="0.35">
      <c r="B260" s="3" t="s">
        <v>165</v>
      </c>
      <c r="D260" t="s">
        <v>3</v>
      </c>
      <c r="E260" s="99">
        <v>35</v>
      </c>
      <c r="F260" s="99">
        <v>35</v>
      </c>
      <c r="G260" s="122"/>
    </row>
    <row r="261" spans="2:13" x14ac:dyDescent="0.35">
      <c r="B261" s="3" t="s">
        <v>167</v>
      </c>
      <c r="D261" t="s">
        <v>3</v>
      </c>
      <c r="E261" s="99">
        <v>30</v>
      </c>
      <c r="F261" s="99">
        <v>30</v>
      </c>
      <c r="G261" s="122"/>
    </row>
    <row r="262" spans="2:13" x14ac:dyDescent="0.35">
      <c r="B262" s="3" t="s">
        <v>154</v>
      </c>
      <c r="D262" t="s">
        <v>162</v>
      </c>
      <c r="E262" s="99">
        <v>2.11</v>
      </c>
      <c r="F262" s="99">
        <v>3.97</v>
      </c>
      <c r="G262" s="122"/>
    </row>
    <row r="263" spans="2:13" x14ac:dyDescent="0.35">
      <c r="B263" s="118" t="s">
        <v>339</v>
      </c>
      <c r="D263" t="s">
        <v>140</v>
      </c>
      <c r="E263" s="113">
        <v>28</v>
      </c>
      <c r="F263" s="99">
        <v>28</v>
      </c>
      <c r="G263" s="122"/>
    </row>
    <row r="264" spans="2:13" x14ac:dyDescent="0.35">
      <c r="G264" s="122"/>
    </row>
    <row r="265" spans="2:13" x14ac:dyDescent="0.35">
      <c r="B265" s="152" t="s">
        <v>246</v>
      </c>
      <c r="C265" s="152"/>
      <c r="D265" s="152"/>
      <c r="E265" s="152"/>
      <c r="F265" s="152"/>
      <c r="G265" s="122"/>
      <c r="I265" s="152" t="s">
        <v>246</v>
      </c>
      <c r="J265" s="152"/>
      <c r="K265" s="152"/>
      <c r="L265" s="152"/>
      <c r="M265" s="152"/>
    </row>
    <row r="266" spans="2:13" x14ac:dyDescent="0.35">
      <c r="B266" s="3" t="s">
        <v>169</v>
      </c>
      <c r="D266" t="s">
        <v>140</v>
      </c>
      <c r="E266" s="104">
        <f ca="1">E278</f>
        <v>10.661623801540987</v>
      </c>
      <c r="F266" s="104">
        <f ca="1">F278</f>
        <v>26.205412009135088</v>
      </c>
      <c r="G266" s="122"/>
      <c r="I266" s="3" t="s">
        <v>169</v>
      </c>
      <c r="K266" t="s">
        <v>140</v>
      </c>
      <c r="L266" s="2">
        <f ca="1">L278</f>
        <v>7109.0768356010321</v>
      </c>
      <c r="M266" s="2">
        <f ca="1">M278</f>
        <v>14239.005367419973</v>
      </c>
    </row>
    <row r="267" spans="2:13" x14ac:dyDescent="0.35">
      <c r="B267" s="3" t="s">
        <v>138</v>
      </c>
      <c r="D267" t="s">
        <v>5</v>
      </c>
      <c r="E267" s="25">
        <f ca="1">E277</f>
        <v>1</v>
      </c>
      <c r="F267" s="25">
        <f ca="1">F277</f>
        <v>12</v>
      </c>
      <c r="G267" s="122"/>
      <c r="I267" s="3" t="s">
        <v>138</v>
      </c>
      <c r="K267" t="s">
        <v>5</v>
      </c>
      <c r="L267" s="25">
        <f ca="1">L277</f>
        <v>1</v>
      </c>
      <c r="M267" s="25">
        <f ca="1">M277</f>
        <v>3</v>
      </c>
    </row>
    <row r="268" spans="2:13" x14ac:dyDescent="0.35">
      <c r="B268" s="3" t="s">
        <v>244</v>
      </c>
      <c r="D268" t="s">
        <v>214</v>
      </c>
      <c r="E268" s="22" t="s">
        <v>5</v>
      </c>
      <c r="F268" s="22" t="s">
        <v>5</v>
      </c>
      <c r="G268" s="122"/>
      <c r="I268" s="3" t="s">
        <v>244</v>
      </c>
      <c r="K268" t="s">
        <v>214</v>
      </c>
      <c r="L268" s="22" t="s">
        <v>5</v>
      </c>
      <c r="M268" s="22" t="s">
        <v>5</v>
      </c>
    </row>
    <row r="269" spans="2:13" x14ac:dyDescent="0.35">
      <c r="B269" s="3" t="s">
        <v>207</v>
      </c>
      <c r="D269" t="s">
        <v>83</v>
      </c>
      <c r="E269" s="22">
        <f ca="1">E289</f>
        <v>1282.2734946113344</v>
      </c>
      <c r="F269" s="22">
        <f ca="1">F289</f>
        <v>179238.27960796736</v>
      </c>
      <c r="G269" s="122"/>
      <c r="I269" s="3" t="s">
        <v>207</v>
      </c>
      <c r="K269" t="s">
        <v>83</v>
      </c>
      <c r="L269" s="22" t="s">
        <v>5</v>
      </c>
      <c r="M269" s="22" t="s">
        <v>5</v>
      </c>
    </row>
    <row r="270" spans="2:13" x14ac:dyDescent="0.35">
      <c r="B270" s="3" t="s">
        <v>245</v>
      </c>
      <c r="D270" t="s">
        <v>83</v>
      </c>
      <c r="E270" s="22">
        <f ca="1">E295</f>
        <v>193261.31617347864</v>
      </c>
      <c r="F270" s="22">
        <f ca="1">F295</f>
        <v>12006391.935461931</v>
      </c>
      <c r="G270" s="122"/>
      <c r="I270" s="3" t="s">
        <v>245</v>
      </c>
      <c r="K270" t="s">
        <v>83</v>
      </c>
      <c r="L270" s="22" t="s">
        <v>5</v>
      </c>
      <c r="M270" s="22" t="s">
        <v>5</v>
      </c>
    </row>
    <row r="271" spans="2:13" x14ac:dyDescent="0.35">
      <c r="B271" s="3" t="s">
        <v>194</v>
      </c>
      <c r="D271" t="s">
        <v>83</v>
      </c>
      <c r="E271" s="22" t="s">
        <v>5</v>
      </c>
      <c r="F271" s="22" t="s">
        <v>5</v>
      </c>
      <c r="G271" s="122"/>
      <c r="I271" s="3" t="s">
        <v>194</v>
      </c>
      <c r="K271" t="s">
        <v>83</v>
      </c>
      <c r="L271" s="22" t="s">
        <v>5</v>
      </c>
      <c r="M271" s="22" t="s">
        <v>5</v>
      </c>
    </row>
    <row r="272" spans="2:13" x14ac:dyDescent="0.35">
      <c r="G272" s="122"/>
    </row>
    <row r="273" spans="2:13" x14ac:dyDescent="0.35">
      <c r="B273" s="152" t="s">
        <v>252</v>
      </c>
      <c r="C273" s="152"/>
      <c r="D273" s="152"/>
      <c r="E273" s="152"/>
      <c r="F273" s="152"/>
      <c r="G273" s="122"/>
      <c r="I273" s="152" t="s">
        <v>252</v>
      </c>
      <c r="J273" s="152"/>
      <c r="K273" s="152"/>
      <c r="L273" s="152"/>
      <c r="M273" s="152"/>
    </row>
    <row r="274" spans="2:13" x14ac:dyDescent="0.35">
      <c r="B274" s="3" t="s">
        <v>273</v>
      </c>
      <c r="D274" t="s">
        <v>83</v>
      </c>
      <c r="E274" s="22">
        <f ca="1">StreamTable(E256,"Mass per batch")</f>
        <v>42539.878968148536</v>
      </c>
      <c r="F274" s="22">
        <f ca="1">StreamTable(F256,"Mass per batch")</f>
        <v>3160372.6883016913</v>
      </c>
      <c r="G274" s="122"/>
      <c r="I274" s="3" t="s">
        <v>254</v>
      </c>
      <c r="K274" t="s">
        <v>44</v>
      </c>
      <c r="L274" s="22">
        <f ca="1">StreamTable(L256,"Volume")</f>
        <v>21327230.506803095</v>
      </c>
      <c r="M274" s="22">
        <f ca="1">StreamTable(M256,"Volume")</f>
        <v>21358508.05112996</v>
      </c>
    </row>
    <row r="275" spans="2:13" x14ac:dyDescent="0.35">
      <c r="B275" s="3" t="s">
        <v>271</v>
      </c>
      <c r="D275" t="s">
        <v>44</v>
      </c>
      <c r="E275" s="22">
        <f ca="1">StreamTable(E256,"Volume")</f>
        <v>31.984871404622961</v>
      </c>
      <c r="F275" s="22">
        <f ca="1">StreamTable(F256,"Volume")</f>
        <v>3144.6494410962105</v>
      </c>
      <c r="G275" s="122"/>
      <c r="I275" s="3" t="s">
        <v>255</v>
      </c>
      <c r="K275" t="s">
        <v>44</v>
      </c>
      <c r="L275" s="2">
        <f ca="1">L274/L258</f>
        <v>3554538.4178005159</v>
      </c>
      <c r="M275" s="2">
        <f ca="1">M274/M258</f>
        <v>21358508.05112996</v>
      </c>
    </row>
    <row r="276" spans="2:13" x14ac:dyDescent="0.35">
      <c r="B276" s="3" t="s">
        <v>269</v>
      </c>
      <c r="D276" t="s">
        <v>140</v>
      </c>
      <c r="E276" s="104">
        <f ca="1">E275/E257</f>
        <v>10.661623801540987</v>
      </c>
      <c r="F276" s="104">
        <f ca="1">F275/F257</f>
        <v>314.46494410962106</v>
      </c>
      <c r="G276" s="122"/>
      <c r="I276" s="3"/>
      <c r="K276" t="s">
        <v>140</v>
      </c>
      <c r="L276" s="22">
        <f ca="1">L275/L257</f>
        <v>7109.0768356010321</v>
      </c>
      <c r="M276" s="22">
        <f ca="1">M275/M257</f>
        <v>42717.01610225992</v>
      </c>
    </row>
    <row r="277" spans="2:13" x14ac:dyDescent="0.35">
      <c r="B277" s="3" t="s">
        <v>138</v>
      </c>
      <c r="D277" t="s">
        <v>5</v>
      </c>
      <c r="E277">
        <f ca="1">ROUNDUP(E276/E263,0)</f>
        <v>1</v>
      </c>
      <c r="F277">
        <f ca="1">ROUNDUP(F276/F263,0)</f>
        <v>12</v>
      </c>
      <c r="G277" s="122"/>
      <c r="I277" s="3" t="s">
        <v>138</v>
      </c>
      <c r="K277" t="s">
        <v>5</v>
      </c>
      <c r="L277">
        <f ca="1">ROUNDUP(L276/L259,0)</f>
        <v>1</v>
      </c>
      <c r="M277">
        <f ca="1">ROUNDUP(M276/M259,0)</f>
        <v>3</v>
      </c>
    </row>
    <row r="278" spans="2:13" x14ac:dyDescent="0.35">
      <c r="B278" s="3" t="s">
        <v>336</v>
      </c>
      <c r="D278" t="s">
        <v>140</v>
      </c>
      <c r="E278" s="2">
        <f ca="1">E276/E277</f>
        <v>10.661623801540987</v>
      </c>
      <c r="F278" s="2">
        <f ca="1">F276/F277</f>
        <v>26.205412009135088</v>
      </c>
      <c r="G278" s="122"/>
      <c r="I278" s="3" t="s">
        <v>336</v>
      </c>
      <c r="K278" t="s">
        <v>140</v>
      </c>
      <c r="L278" s="2">
        <f ca="1">L276/L277</f>
        <v>7109.0768356010321</v>
      </c>
      <c r="M278" s="2">
        <f ca="1">M276/M277</f>
        <v>14239.005367419973</v>
      </c>
    </row>
    <row r="279" spans="2:13" x14ac:dyDescent="0.35">
      <c r="G279" s="122"/>
      <c r="I279" s="143"/>
      <c r="J279" s="142"/>
      <c r="K279" s="142"/>
      <c r="L279" s="142"/>
      <c r="M279" s="142"/>
    </row>
    <row r="280" spans="2:13" x14ac:dyDescent="0.35">
      <c r="B280" s="152" t="s">
        <v>253</v>
      </c>
      <c r="C280" s="152"/>
      <c r="D280" s="152"/>
      <c r="E280" s="152"/>
      <c r="F280" s="152"/>
      <c r="G280" s="122"/>
    </row>
    <row r="281" spans="2:13" x14ac:dyDescent="0.35">
      <c r="B281" s="3" t="s">
        <v>155</v>
      </c>
      <c r="D281" t="s">
        <v>3</v>
      </c>
      <c r="E281">
        <f>E258</f>
        <v>50</v>
      </c>
      <c r="F281">
        <f>F258</f>
        <v>25</v>
      </c>
      <c r="G281" s="122"/>
    </row>
    <row r="282" spans="2:13" x14ac:dyDescent="0.35">
      <c r="B282" s="3" t="s">
        <v>156</v>
      </c>
      <c r="D282" t="s">
        <v>3</v>
      </c>
      <c r="E282">
        <f>E287-E261</f>
        <v>110</v>
      </c>
      <c r="F282">
        <f>F287-F261</f>
        <v>110</v>
      </c>
      <c r="G282" s="122"/>
    </row>
    <row r="283" spans="2:13" x14ac:dyDescent="0.35">
      <c r="B283" s="3" t="s">
        <v>191</v>
      </c>
      <c r="D283" t="s">
        <v>7</v>
      </c>
      <c r="E283" s="2">
        <f ca="1">$E$274*$E$262*(E282-E281)</f>
        <v>5385548.6773676043</v>
      </c>
      <c r="F283" s="2">
        <f ca="1">$F$274*$F$262*(F282-F281)</f>
        <v>1066467763.6674058</v>
      </c>
      <c r="G283" s="122"/>
    </row>
    <row r="284" spans="2:13" x14ac:dyDescent="0.35">
      <c r="G284" s="122"/>
    </row>
    <row r="285" spans="2:13" x14ac:dyDescent="0.35">
      <c r="B285" s="152" t="s">
        <v>235</v>
      </c>
      <c r="C285" s="152"/>
      <c r="D285" s="152"/>
      <c r="E285" s="152"/>
      <c r="F285" s="152"/>
      <c r="G285" s="122"/>
    </row>
    <row r="286" spans="2:13" x14ac:dyDescent="0.35">
      <c r="B286" s="3" t="s">
        <v>156</v>
      </c>
      <c r="D286" s="35" t="s">
        <v>3</v>
      </c>
      <c r="E286">
        <f>E282</f>
        <v>110</v>
      </c>
      <c r="F286">
        <f>F282</f>
        <v>110</v>
      </c>
      <c r="G286" s="122"/>
    </row>
    <row r="287" spans="2:13" x14ac:dyDescent="0.35">
      <c r="B287" s="3" t="s">
        <v>157</v>
      </c>
      <c r="D287" t="s">
        <v>3</v>
      </c>
      <c r="E287">
        <f>E259</f>
        <v>140</v>
      </c>
      <c r="F287">
        <f>F259</f>
        <v>140</v>
      </c>
      <c r="G287" s="122"/>
    </row>
    <row r="288" spans="2:13" x14ac:dyDescent="0.35">
      <c r="B288" s="3" t="s">
        <v>191</v>
      </c>
      <c r="D288" t="s">
        <v>7</v>
      </c>
      <c r="E288" s="2">
        <f ca="1">$E$274*$E$262*(E287-E282)</f>
        <v>2692774.3386838022</v>
      </c>
      <c r="F288" s="2">
        <f ca="1">$F$274*$F$262*(F287-F282)</f>
        <v>376400387.17673147</v>
      </c>
      <c r="G288" s="122"/>
    </row>
    <row r="289" spans="2:7" x14ac:dyDescent="0.35">
      <c r="B289" s="3" t="s">
        <v>207</v>
      </c>
      <c r="D289" t="s">
        <v>83</v>
      </c>
      <c r="E289" s="2">
        <f ca="1">E288/Hvap_H2O</f>
        <v>1282.2734946113344</v>
      </c>
      <c r="F289" s="2">
        <f ca="1">F288/Hvap_H2O</f>
        <v>179238.27960796736</v>
      </c>
      <c r="G289" s="122"/>
    </row>
    <row r="290" spans="2:7" x14ac:dyDescent="0.35">
      <c r="G290" s="122"/>
    </row>
    <row r="291" spans="2:7" x14ac:dyDescent="0.35">
      <c r="B291" s="152" t="s">
        <v>241</v>
      </c>
      <c r="C291" s="152"/>
      <c r="D291" s="152"/>
      <c r="E291" s="152"/>
      <c r="F291" s="152"/>
      <c r="G291" s="122"/>
    </row>
    <row r="292" spans="2:7" x14ac:dyDescent="0.35">
      <c r="B292" s="3" t="s">
        <v>158</v>
      </c>
      <c r="D292" t="s">
        <v>3</v>
      </c>
      <c r="E292">
        <f>E281+E261</f>
        <v>80</v>
      </c>
      <c r="F292">
        <f>F281+F261</f>
        <v>55</v>
      </c>
      <c r="G292" s="122"/>
    </row>
    <row r="293" spans="2:7" x14ac:dyDescent="0.35">
      <c r="B293" s="3" t="s">
        <v>159</v>
      </c>
      <c r="D293" t="s">
        <v>3</v>
      </c>
      <c r="E293">
        <f>E260</f>
        <v>35</v>
      </c>
      <c r="F293">
        <f>F260</f>
        <v>35</v>
      </c>
      <c r="G293" s="122"/>
    </row>
    <row r="294" spans="2:7" x14ac:dyDescent="0.35">
      <c r="B294" s="3" t="s">
        <v>191</v>
      </c>
      <c r="D294" t="s">
        <v>7</v>
      </c>
      <c r="E294" s="2">
        <f ca="1">$E$274*$E$262*(E293-E292)</f>
        <v>-4039161.5080257035</v>
      </c>
      <c r="F294" s="2">
        <f ca="1">$F$274*$F$262*(F293-F292)</f>
        <v>-250933591.45115432</v>
      </c>
      <c r="G294" s="122"/>
    </row>
    <row r="295" spans="2:7" x14ac:dyDescent="0.35">
      <c r="B295" s="3" t="s">
        <v>245</v>
      </c>
      <c r="D295" t="s">
        <v>83</v>
      </c>
      <c r="E295" s="2">
        <f ca="1">E294/(Cp_H2O*(T_CW_supply-T_CW_return))</f>
        <v>193261.31617347864</v>
      </c>
      <c r="F295" s="2">
        <f ca="1">F294/(Cp_H2O*(T_CW_supply-T_CW_return))</f>
        <v>12006391.935461931</v>
      </c>
      <c r="G295" s="122"/>
    </row>
    <row r="296" spans="2:7" x14ac:dyDescent="0.35">
      <c r="G296" s="122"/>
    </row>
    <row r="297" spans="2:7" x14ac:dyDescent="0.35">
      <c r="B297" s="3"/>
      <c r="G297" s="122"/>
    </row>
    <row r="298" spans="2:7" x14ac:dyDescent="0.35">
      <c r="G298" s="122"/>
    </row>
    <row r="299" spans="2:7" x14ac:dyDescent="0.35">
      <c r="G299" s="122"/>
    </row>
    <row r="300" spans="2:7" x14ac:dyDescent="0.35">
      <c r="G300" s="122"/>
    </row>
    <row r="301" spans="2:7" x14ac:dyDescent="0.35">
      <c r="B301" s="3"/>
      <c r="G301" s="122"/>
    </row>
    <row r="302" spans="2:7" x14ac:dyDescent="0.35">
      <c r="G302" s="122"/>
    </row>
    <row r="303" spans="2:7" x14ac:dyDescent="0.35">
      <c r="G303" s="122"/>
    </row>
    <row r="304" spans="2:7" x14ac:dyDescent="0.35">
      <c r="B304" s="3"/>
      <c r="G304" s="122"/>
    </row>
    <row r="305" spans="1:7" x14ac:dyDescent="0.35">
      <c r="G305" s="122"/>
    </row>
    <row r="306" spans="1:7" x14ac:dyDescent="0.35">
      <c r="B306" s="142"/>
      <c r="C306" s="142"/>
      <c r="D306" s="142"/>
      <c r="E306" s="142"/>
      <c r="F306" s="142"/>
      <c r="G306" s="122"/>
    </row>
    <row r="307" spans="1:7" x14ac:dyDescent="0.35">
      <c r="G307" s="122"/>
    </row>
    <row r="308" spans="1:7" x14ac:dyDescent="0.35">
      <c r="G308" s="122"/>
    </row>
    <row r="309" spans="1:7" s="136" customFormat="1" ht="21" x14ac:dyDescent="0.5">
      <c r="A309" s="137"/>
      <c r="G309" s="138"/>
    </row>
    <row r="310" spans="1:7" x14ac:dyDescent="0.35">
      <c r="G310" s="141"/>
    </row>
  </sheetData>
  <pageMargins left="0.7" right="0.7" top="0.75" bottom="0.75" header="0.3" footer="0.3"/>
  <pageSetup orientation="portrait" horizontalDpi="4294967293"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5" tint="0.39997558519241921"/>
  </sheetPr>
  <dimension ref="A1:X81"/>
  <sheetViews>
    <sheetView showGridLines="0" zoomScale="85" zoomScaleNormal="85" workbookViewId="0">
      <selection activeCell="Q75" sqref="Q75"/>
    </sheetView>
  </sheetViews>
  <sheetFormatPr defaultColWidth="11.453125" defaultRowHeight="14.5" x14ac:dyDescent="0.35"/>
  <cols>
    <col min="1" max="1" width="2.81640625" customWidth="1"/>
    <col min="3" max="3" width="11.7265625" bestFit="1" customWidth="1"/>
    <col min="4" max="4" width="13.453125" customWidth="1"/>
    <col min="5" max="23" width="12.7265625" customWidth="1"/>
  </cols>
  <sheetData>
    <row r="1" spans="1:22" s="146" customFormat="1" ht="26" x14ac:dyDescent="0.6">
      <c r="A1" s="145" t="s">
        <v>296</v>
      </c>
      <c r="J1" s="147"/>
    </row>
    <row r="2" spans="1:22" ht="15.5" x14ac:dyDescent="0.35">
      <c r="B2" s="151" t="s">
        <v>300</v>
      </c>
    </row>
    <row r="4" spans="1:22" x14ac:dyDescent="0.35">
      <c r="B4" s="179"/>
      <c r="C4" s="179"/>
      <c r="D4" s="179"/>
      <c r="E4" s="179"/>
      <c r="F4" s="179"/>
    </row>
    <row r="5" spans="1:22" ht="18.5" x14ac:dyDescent="0.45">
      <c r="B5" s="178" t="s">
        <v>302</v>
      </c>
      <c r="C5" s="178"/>
      <c r="D5" s="178"/>
      <c r="E5" s="485">
        <f ca="1">SUM(K5:K6)</f>
        <v>38717776.737758085</v>
      </c>
      <c r="F5" s="485"/>
      <c r="H5" t="s">
        <v>505</v>
      </c>
      <c r="K5" s="159">
        <f ca="1">SUM(D33:V33)</f>
        <v>34845999.063982278</v>
      </c>
      <c r="N5" t="s">
        <v>297</v>
      </c>
      <c r="Q5" s="159">
        <f ca="1">SUM(D37:V37)</f>
        <v>11103026.440484812</v>
      </c>
    </row>
    <row r="6" spans="1:22" ht="18.5" x14ac:dyDescent="0.45">
      <c r="B6" s="180" t="s">
        <v>301</v>
      </c>
      <c r="C6" s="180"/>
      <c r="D6" s="180"/>
      <c r="E6" s="486">
        <f ca="1">SUM(Q5:Q6)</f>
        <v>13038915.277372718</v>
      </c>
      <c r="F6" s="486"/>
      <c r="H6" t="s">
        <v>506</v>
      </c>
      <c r="K6" s="159">
        <f ca="1">K5*K7/(1-K7)</f>
        <v>3871777.6737758089</v>
      </c>
      <c r="N6" t="s">
        <v>384</v>
      </c>
      <c r="Q6" s="159">
        <f ca="1">K6*Q7</f>
        <v>1935888.8368879044</v>
      </c>
    </row>
    <row r="7" spans="1:22" x14ac:dyDescent="0.35">
      <c r="H7" t="s">
        <v>294</v>
      </c>
      <c r="K7" s="27">
        <v>0.1</v>
      </c>
      <c r="L7" t="s">
        <v>507</v>
      </c>
      <c r="N7" t="s">
        <v>385</v>
      </c>
      <c r="Q7" s="27">
        <v>0.5</v>
      </c>
      <c r="R7" t="s">
        <v>508</v>
      </c>
    </row>
    <row r="11" spans="1:22" x14ac:dyDescent="0.35">
      <c r="B11" s="136"/>
      <c r="C11" s="136"/>
      <c r="D11" s="126" t="s">
        <v>324</v>
      </c>
      <c r="E11" s="126" t="s">
        <v>197</v>
      </c>
      <c r="F11" s="126"/>
      <c r="G11" s="126"/>
      <c r="H11" s="126"/>
      <c r="I11" s="126"/>
      <c r="J11" s="126"/>
      <c r="K11" s="126" t="s">
        <v>259</v>
      </c>
      <c r="L11" s="126"/>
      <c r="M11" s="126"/>
      <c r="N11" s="126" t="s">
        <v>267</v>
      </c>
      <c r="O11" s="126"/>
      <c r="P11" s="126"/>
      <c r="Q11" s="126"/>
      <c r="R11" s="126"/>
      <c r="S11" s="126" t="s">
        <v>260</v>
      </c>
      <c r="T11" s="126"/>
      <c r="U11" s="126"/>
      <c r="V11" s="126"/>
    </row>
    <row r="12" spans="1:22" x14ac:dyDescent="0.35">
      <c r="A12" s="127"/>
      <c r="B12" s="169" t="s">
        <v>256</v>
      </c>
      <c r="C12" s="170"/>
      <c r="D12" s="172" t="s">
        <v>185</v>
      </c>
      <c r="E12" s="171" t="s">
        <v>145</v>
      </c>
      <c r="F12" s="171" t="s">
        <v>146</v>
      </c>
      <c r="G12" s="171" t="s">
        <v>147</v>
      </c>
      <c r="H12" s="171" t="s">
        <v>148</v>
      </c>
      <c r="I12" s="171" t="s">
        <v>149</v>
      </c>
      <c r="J12" s="172" t="s">
        <v>150</v>
      </c>
      <c r="K12" s="171" t="s">
        <v>198</v>
      </c>
      <c r="L12" s="171" t="s">
        <v>212</v>
      </c>
      <c r="M12" s="172" t="s">
        <v>224</v>
      </c>
      <c r="N12" s="171" t="s">
        <v>171</v>
      </c>
      <c r="O12" s="171" t="s">
        <v>131</v>
      </c>
      <c r="P12" s="171" t="s">
        <v>132</v>
      </c>
      <c r="Q12" s="171" t="s">
        <v>133</v>
      </c>
      <c r="R12" s="172" t="s">
        <v>134</v>
      </c>
      <c r="S12" s="171" t="s">
        <v>152</v>
      </c>
      <c r="T12" s="171" t="s">
        <v>153</v>
      </c>
      <c r="U12" s="171" t="s">
        <v>210</v>
      </c>
      <c r="V12" s="172" t="s">
        <v>211</v>
      </c>
    </row>
    <row r="13" spans="1:22" x14ac:dyDescent="0.35">
      <c r="A13" s="127"/>
      <c r="B13" s="3" t="s">
        <v>257</v>
      </c>
      <c r="D13" s="130" t="str">
        <f t="shared" ref="D13:M16" ca="1" si="0">EquipmentList(D$12,$B13)</f>
        <v>Volume</v>
      </c>
      <c r="E13" s="21" t="str">
        <f t="shared" ca="1" si="0"/>
        <v>Volume</v>
      </c>
      <c r="F13" s="21" t="str">
        <f t="shared" ca="1" si="0"/>
        <v>Volume</v>
      </c>
      <c r="G13" s="21" t="str">
        <f t="shared" ca="1" si="0"/>
        <v>Volume</v>
      </c>
      <c r="H13" s="21" t="str">
        <f t="shared" ca="1" si="0"/>
        <v>Volume</v>
      </c>
      <c r="I13" s="21" t="str">
        <f t="shared" ca="1" si="0"/>
        <v>Volume</v>
      </c>
      <c r="J13" s="130" t="str">
        <f t="shared" ca="1" si="0"/>
        <v>Volume</v>
      </c>
      <c r="K13" s="21" t="str">
        <f t="shared" ca="1" si="0"/>
        <v>Volume</v>
      </c>
      <c r="L13" s="21" t="str">
        <f t="shared" ca="1" si="0"/>
        <v>Throughput</v>
      </c>
      <c r="M13" s="130" t="str">
        <f t="shared" ca="1" si="0"/>
        <v>Volume</v>
      </c>
      <c r="N13" s="21" t="str">
        <f t="shared" ref="N13:V16" ca="1" si="1">EquipmentList(N$12,$B13)</f>
        <v>Power</v>
      </c>
      <c r="O13" s="21" t="str">
        <f t="shared" ca="1" si="1"/>
        <v>Power</v>
      </c>
      <c r="P13" s="21" t="str">
        <f t="shared" ca="1" si="1"/>
        <v>Power</v>
      </c>
      <c r="Q13" s="21" t="str">
        <f t="shared" ca="1" si="1"/>
        <v>Power</v>
      </c>
      <c r="R13" s="130" t="str">
        <f t="shared" ca="1" si="1"/>
        <v>Power</v>
      </c>
      <c r="S13" s="21" t="str">
        <f t="shared" ca="1" si="1"/>
        <v>Throughput</v>
      </c>
      <c r="T13" s="21" t="str">
        <f t="shared" ca="1" si="1"/>
        <v>Throughput</v>
      </c>
      <c r="U13" s="21" t="str">
        <f t="shared" ca="1" si="1"/>
        <v>Throughput</v>
      </c>
      <c r="V13" s="130" t="str">
        <f t="shared" ca="1" si="1"/>
        <v>Throughput</v>
      </c>
    </row>
    <row r="14" spans="1:22" x14ac:dyDescent="0.35">
      <c r="A14" s="127"/>
      <c r="B14" s="3" t="s">
        <v>258</v>
      </c>
      <c r="D14" s="130" t="str">
        <f t="shared" ca="1" si="0"/>
        <v>m3</v>
      </c>
      <c r="E14" s="21" t="str">
        <f t="shared" ca="1" si="0"/>
        <v>m3</v>
      </c>
      <c r="F14" s="21" t="str">
        <f t="shared" ca="1" si="0"/>
        <v>m3</v>
      </c>
      <c r="G14" s="21" t="str">
        <f t="shared" ca="1" si="0"/>
        <v>m3</v>
      </c>
      <c r="H14" s="21" t="str">
        <f t="shared" ca="1" si="0"/>
        <v>m3</v>
      </c>
      <c r="I14" s="21" t="str">
        <f t="shared" ca="1" si="0"/>
        <v>m3</v>
      </c>
      <c r="J14" s="130" t="str">
        <f t="shared" ca="1" si="0"/>
        <v>m3</v>
      </c>
      <c r="K14" s="21" t="str">
        <f t="shared" ca="1" si="0"/>
        <v>m3</v>
      </c>
      <c r="L14" s="21" t="str">
        <f t="shared" ca="1" si="0"/>
        <v>m3/h</v>
      </c>
      <c r="M14" s="130" t="str">
        <f t="shared" ca="1" si="0"/>
        <v>m3</v>
      </c>
      <c r="N14" s="21" t="str">
        <f t="shared" ca="1" si="1"/>
        <v>kW</v>
      </c>
      <c r="O14" s="21" t="str">
        <f t="shared" ca="1" si="1"/>
        <v>kW</v>
      </c>
      <c r="P14" s="21" t="str">
        <f t="shared" ca="1" si="1"/>
        <v>kW</v>
      </c>
      <c r="Q14" s="21" t="str">
        <f t="shared" ca="1" si="1"/>
        <v>kW</v>
      </c>
      <c r="R14" s="130" t="str">
        <f t="shared" ca="1" si="1"/>
        <v>kW</v>
      </c>
      <c r="S14" s="21" t="str">
        <f t="shared" ca="1" si="1"/>
        <v>m3/h</v>
      </c>
      <c r="T14" s="21" t="str">
        <f t="shared" ca="1" si="1"/>
        <v>m3/h</v>
      </c>
      <c r="U14" s="21" t="str">
        <f t="shared" ca="1" si="1"/>
        <v>m3/h</v>
      </c>
      <c r="V14" s="130" t="str">
        <f t="shared" ca="1" si="1"/>
        <v>m3/h</v>
      </c>
    </row>
    <row r="15" spans="1:22" x14ac:dyDescent="0.35">
      <c r="A15" s="127"/>
      <c r="B15" s="3" t="s">
        <v>341</v>
      </c>
      <c r="D15" s="127">
        <f ca="1">EquipmentList(D$12,$B15)</f>
        <v>12</v>
      </c>
      <c r="E15">
        <f t="shared" ca="1" si="0"/>
        <v>1</v>
      </c>
      <c r="F15">
        <f t="shared" ca="1" si="0"/>
        <v>4</v>
      </c>
      <c r="G15">
        <f t="shared" ca="1" si="0"/>
        <v>1</v>
      </c>
      <c r="H15">
        <f t="shared" ca="1" si="0"/>
        <v>1</v>
      </c>
      <c r="I15">
        <f t="shared" ca="1" si="0"/>
        <v>1</v>
      </c>
      <c r="J15">
        <f t="shared" ca="1" si="0"/>
        <v>1</v>
      </c>
      <c r="K15" s="203">
        <f t="shared" ca="1" si="0"/>
        <v>2</v>
      </c>
      <c r="L15">
        <f t="shared" ca="1" si="0"/>
        <v>1</v>
      </c>
      <c r="M15" s="127">
        <f t="shared" ca="1" si="0"/>
        <v>1</v>
      </c>
      <c r="N15">
        <f t="shared" ca="1" si="1"/>
        <v>2</v>
      </c>
      <c r="O15">
        <f t="shared" ca="1" si="1"/>
        <v>1</v>
      </c>
      <c r="P15">
        <f t="shared" ca="1" si="1"/>
        <v>1</v>
      </c>
      <c r="Q15">
        <f t="shared" ca="1" si="1"/>
        <v>1</v>
      </c>
      <c r="R15" s="127">
        <f t="shared" ca="1" si="1"/>
        <v>12</v>
      </c>
      <c r="S15">
        <f t="shared" ca="1" si="1"/>
        <v>1</v>
      </c>
      <c r="T15">
        <f t="shared" ca="1" si="1"/>
        <v>12</v>
      </c>
      <c r="U15">
        <f t="shared" ca="1" si="1"/>
        <v>1</v>
      </c>
      <c r="V15" s="127">
        <f t="shared" ca="1" si="1"/>
        <v>3</v>
      </c>
    </row>
    <row r="16" spans="1:22" x14ac:dyDescent="0.35">
      <c r="A16" s="127"/>
      <c r="B16" s="3" t="s">
        <v>340</v>
      </c>
      <c r="D16" s="164">
        <f ca="1">EquipmentList(D$12,$B16)</f>
        <v>493.68589136118277</v>
      </c>
      <c r="E16" s="104">
        <f t="shared" ca="1" si="0"/>
        <v>39.981089255778699</v>
      </c>
      <c r="F16" s="104">
        <f t="shared" ca="1" si="0"/>
        <v>982.70295034256571</v>
      </c>
      <c r="G16" s="104">
        <f t="shared" ca="1" si="0"/>
        <v>439.53231316334569</v>
      </c>
      <c r="H16" s="104">
        <f t="shared" ca="1" si="0"/>
        <v>3955.7908184701118</v>
      </c>
      <c r="I16" s="104">
        <f t="shared" ca="1" si="0"/>
        <v>2826.3245520933133</v>
      </c>
      <c r="J16" s="104">
        <f t="shared" ca="1" si="0"/>
        <v>642.7042885065481</v>
      </c>
      <c r="K16" s="225">
        <f t="shared" ca="1" si="0"/>
        <v>29.302154210889718</v>
      </c>
      <c r="L16" s="104">
        <f t="shared" ca="1" si="0"/>
        <v>18.84216368062209</v>
      </c>
      <c r="M16" s="226">
        <f t="shared" ca="1" si="0"/>
        <v>34.781363978793564</v>
      </c>
      <c r="N16" s="25">
        <f t="shared" ca="1" si="1"/>
        <v>1980.2050377755136</v>
      </c>
      <c r="O16" s="104">
        <f t="shared" ca="1" si="1"/>
        <v>0.42308030958495979</v>
      </c>
      <c r="P16" s="104">
        <f t="shared" ca="1" si="1"/>
        <v>12.47876762339766</v>
      </c>
      <c r="Q16" s="104">
        <f t="shared" ca="1" si="1"/>
        <v>13.953406767090339</v>
      </c>
      <c r="R16" s="226">
        <f t="shared" ca="1" si="1"/>
        <v>3.8759463241917618</v>
      </c>
      <c r="S16" s="104">
        <f t="shared" ca="1" si="1"/>
        <v>10.661623801540987</v>
      </c>
      <c r="T16" s="104">
        <f t="shared" ca="1" si="1"/>
        <v>26.205412009135088</v>
      </c>
      <c r="U16" s="25">
        <f t="shared" ca="1" si="1"/>
        <v>7109.0768356010321</v>
      </c>
      <c r="V16" s="459">
        <f t="shared" ca="1" si="1"/>
        <v>14239.005367419973</v>
      </c>
    </row>
    <row r="17" spans="1:24" x14ac:dyDescent="0.35">
      <c r="A17" s="127"/>
      <c r="B17" s="3" t="s">
        <v>276</v>
      </c>
      <c r="D17" s="163" t="s">
        <v>277</v>
      </c>
      <c r="E17" s="160" t="s">
        <v>277</v>
      </c>
      <c r="F17" s="113" t="s">
        <v>277</v>
      </c>
      <c r="G17" s="113" t="s">
        <v>277</v>
      </c>
      <c r="H17" s="113" t="s">
        <v>277</v>
      </c>
      <c r="I17" s="113" t="s">
        <v>277</v>
      </c>
      <c r="J17" s="163" t="s">
        <v>277</v>
      </c>
      <c r="K17" s="160" t="s">
        <v>277</v>
      </c>
      <c r="L17" s="113" t="s">
        <v>277</v>
      </c>
      <c r="M17" s="163" t="s">
        <v>277</v>
      </c>
      <c r="N17" s="160" t="s">
        <v>278</v>
      </c>
      <c r="O17" s="113" t="s">
        <v>277</v>
      </c>
      <c r="P17" s="113" t="s">
        <v>277</v>
      </c>
      <c r="Q17" s="113" t="s">
        <v>277</v>
      </c>
      <c r="R17" s="163" t="s">
        <v>277</v>
      </c>
      <c r="S17" s="160" t="s">
        <v>277</v>
      </c>
      <c r="T17" s="113" t="s">
        <v>277</v>
      </c>
      <c r="U17" s="113" t="s">
        <v>278</v>
      </c>
      <c r="V17" s="163" t="s">
        <v>278</v>
      </c>
    </row>
    <row r="18" spans="1:24" x14ac:dyDescent="0.35">
      <c r="A18" s="127"/>
      <c r="B18" s="201"/>
      <c r="C18" s="6"/>
      <c r="D18" s="168"/>
      <c r="E18" s="202"/>
      <c r="F18" s="202"/>
      <c r="G18" s="202"/>
      <c r="H18" s="202"/>
      <c r="I18" s="202"/>
      <c r="J18" s="168"/>
      <c r="K18" s="202"/>
      <c r="L18" s="202"/>
      <c r="M18" s="168"/>
      <c r="N18" s="202"/>
      <c r="O18" s="202"/>
      <c r="P18" s="202"/>
      <c r="Q18" s="202"/>
      <c r="R18" s="168"/>
      <c r="S18" s="202"/>
      <c r="T18" s="202"/>
      <c r="U18" s="202"/>
      <c r="V18" s="168"/>
    </row>
    <row r="19" spans="1:24" x14ac:dyDescent="0.35">
      <c r="A19" s="127"/>
      <c r="B19" s="182"/>
      <c r="C19" s="125"/>
      <c r="D19" s="128"/>
      <c r="E19" s="125"/>
      <c r="F19" s="125"/>
      <c r="G19" s="125"/>
      <c r="H19" s="125"/>
      <c r="I19" s="125"/>
      <c r="J19" s="128"/>
      <c r="K19" s="125"/>
      <c r="L19" s="125"/>
      <c r="M19" s="128"/>
      <c r="N19" s="125"/>
      <c r="O19" s="125"/>
      <c r="P19" s="125"/>
      <c r="Q19" s="125"/>
      <c r="R19" s="128"/>
      <c r="S19" s="125"/>
      <c r="T19" s="125"/>
      <c r="U19" s="125"/>
      <c r="V19" s="128"/>
    </row>
    <row r="20" spans="1:24" x14ac:dyDescent="0.35">
      <c r="A20" s="127"/>
      <c r="B20" s="3" t="s">
        <v>270</v>
      </c>
      <c r="D20" s="191">
        <v>0.66</v>
      </c>
      <c r="E20" s="192">
        <v>0.66</v>
      </c>
      <c r="F20" s="190">
        <v>0.66</v>
      </c>
      <c r="G20" s="190">
        <v>0.66</v>
      </c>
      <c r="H20" s="190">
        <v>0.66</v>
      </c>
      <c r="I20" s="190">
        <v>0.66</v>
      </c>
      <c r="J20" s="191">
        <v>0.66</v>
      </c>
      <c r="K20" s="192">
        <v>0.66</v>
      </c>
      <c r="L20" s="190">
        <v>0.6</v>
      </c>
      <c r="M20" s="191">
        <v>0.66</v>
      </c>
      <c r="N20" s="192">
        <v>0.88</v>
      </c>
      <c r="O20" s="190">
        <v>0.6</v>
      </c>
      <c r="P20" s="190">
        <v>0.6</v>
      </c>
      <c r="Q20" s="190">
        <v>0.6</v>
      </c>
      <c r="R20" s="191">
        <v>0.6</v>
      </c>
      <c r="S20" s="192">
        <v>0.3</v>
      </c>
      <c r="T20" s="190">
        <v>0.3</v>
      </c>
      <c r="U20" s="190">
        <v>0.3</v>
      </c>
      <c r="V20" s="191">
        <v>0.3</v>
      </c>
    </row>
    <row r="21" spans="1:24" x14ac:dyDescent="0.35">
      <c r="A21" s="127"/>
      <c r="B21" s="3" t="s">
        <v>305</v>
      </c>
      <c r="D21" s="166">
        <v>500</v>
      </c>
      <c r="E21" s="31">
        <v>40</v>
      </c>
      <c r="F21" s="4">
        <v>1000</v>
      </c>
      <c r="G21" s="4">
        <v>1000</v>
      </c>
      <c r="H21" s="4">
        <v>1000</v>
      </c>
      <c r="I21" s="4">
        <v>1000</v>
      </c>
      <c r="J21" s="166">
        <v>1000</v>
      </c>
      <c r="K21" s="31">
        <v>40</v>
      </c>
      <c r="L21" s="4">
        <v>15</v>
      </c>
      <c r="M21" s="166">
        <v>30</v>
      </c>
      <c r="N21" s="31">
        <v>2000</v>
      </c>
      <c r="O21" s="4">
        <v>10</v>
      </c>
      <c r="P21" s="4">
        <v>10</v>
      </c>
      <c r="Q21" s="4">
        <v>10</v>
      </c>
      <c r="R21" s="4">
        <v>10</v>
      </c>
      <c r="S21" s="31">
        <v>10</v>
      </c>
      <c r="T21" s="4">
        <v>10</v>
      </c>
      <c r="U21" s="4">
        <v>3600</v>
      </c>
      <c r="V21" s="166">
        <v>3600</v>
      </c>
    </row>
    <row r="22" spans="1:24" x14ac:dyDescent="0.35">
      <c r="A22" s="127"/>
      <c r="B22" s="3" t="s">
        <v>306</v>
      </c>
      <c r="D22" s="167">
        <v>912635</v>
      </c>
      <c r="E22" s="162">
        <v>122100</v>
      </c>
      <c r="F22" s="158">
        <v>1022000</v>
      </c>
      <c r="G22" s="158">
        <v>1022000</v>
      </c>
      <c r="H22" s="158">
        <v>1022000</v>
      </c>
      <c r="I22" s="158">
        <v>1022000</v>
      </c>
      <c r="J22" s="167">
        <v>1022000</v>
      </c>
      <c r="K22" s="162">
        <v>122100</v>
      </c>
      <c r="L22" s="158">
        <v>127400</v>
      </c>
      <c r="M22" s="167">
        <v>101000</v>
      </c>
      <c r="N22" s="162">
        <v>892000</v>
      </c>
      <c r="O22" s="158">
        <v>700</v>
      </c>
      <c r="P22" s="158">
        <v>700</v>
      </c>
      <c r="Q22" s="158">
        <v>700</v>
      </c>
      <c r="R22" s="158">
        <v>700</v>
      </c>
      <c r="S22" s="162">
        <v>339000</v>
      </c>
      <c r="T22" s="158">
        <v>339000</v>
      </c>
      <c r="U22" s="158">
        <v>4500</v>
      </c>
      <c r="V22" s="167">
        <v>4500</v>
      </c>
    </row>
    <row r="23" spans="1:24" x14ac:dyDescent="0.35">
      <c r="A23" s="127"/>
      <c r="B23" s="3" t="s">
        <v>303</v>
      </c>
      <c r="D23" s="168">
        <f ca="1">D22*(D16/D21)^D20</f>
        <v>905012.10863123555</v>
      </c>
      <c r="E23" s="159">
        <f t="shared" ref="E23:V23" ca="1" si="2">E22*(E16/E21)^E20</f>
        <v>122061.89840650359</v>
      </c>
      <c r="F23" s="159">
        <f t="shared" ca="1" si="2"/>
        <v>1010298.2188912246</v>
      </c>
      <c r="G23" s="159">
        <f t="shared" ca="1" si="2"/>
        <v>594052.50222524384</v>
      </c>
      <c r="H23" s="159">
        <f t="shared" ca="1" si="2"/>
        <v>2532939.9029613915</v>
      </c>
      <c r="I23" s="159">
        <f t="shared" ca="1" si="2"/>
        <v>2028885.0237388979</v>
      </c>
      <c r="J23" s="168">
        <f t="shared" ca="1" si="2"/>
        <v>763375.6210742658</v>
      </c>
      <c r="K23" s="159">
        <f t="shared" ca="1" si="2"/>
        <v>99428.244687009952</v>
      </c>
      <c r="L23" s="176">
        <f t="shared" ca="1" si="2"/>
        <v>146080.79908734761</v>
      </c>
      <c r="M23" s="168">
        <f t="shared" ca="1" si="2"/>
        <v>111355.09884030238</v>
      </c>
      <c r="N23" s="159">
        <f t="shared" ca="1" si="2"/>
        <v>884226.24240117101</v>
      </c>
      <c r="O23" s="159">
        <f t="shared" ca="1" si="2"/>
        <v>104.94257783233239</v>
      </c>
      <c r="P23" s="159">
        <f t="shared" ca="1" si="2"/>
        <v>799.46795103556985</v>
      </c>
      <c r="Q23" s="159">
        <f t="shared" ca="1" si="2"/>
        <v>854.88203951161063</v>
      </c>
      <c r="R23" s="168">
        <f t="shared" ca="1" si="2"/>
        <v>396.39182798194111</v>
      </c>
      <c r="S23" s="159">
        <f t="shared" ca="1" si="2"/>
        <v>345578.49144913646</v>
      </c>
      <c r="T23" s="159">
        <f t="shared" ca="1" si="2"/>
        <v>452602.54935980705</v>
      </c>
      <c r="U23" s="176">
        <f t="shared" ca="1" si="2"/>
        <v>5519.0677583461929</v>
      </c>
      <c r="V23" s="460">
        <f t="shared" ca="1" si="2"/>
        <v>6797.7573741177139</v>
      </c>
    </row>
    <row r="24" spans="1:24" x14ac:dyDescent="0.35">
      <c r="A24" s="127"/>
      <c r="B24" s="3"/>
      <c r="D24" s="168"/>
      <c r="E24" s="159"/>
      <c r="F24" s="159"/>
      <c r="G24" s="159"/>
      <c r="H24" s="159"/>
      <c r="I24" s="159"/>
      <c r="J24" s="168"/>
      <c r="K24" s="159"/>
      <c r="L24" s="176"/>
      <c r="M24" s="168"/>
      <c r="N24" s="159"/>
      <c r="O24" s="159"/>
      <c r="P24" s="159"/>
      <c r="Q24" s="159"/>
      <c r="R24" s="168"/>
      <c r="S24" s="159"/>
      <c r="T24" s="159"/>
      <c r="U24" s="174"/>
      <c r="V24" s="175"/>
    </row>
    <row r="25" spans="1:24" x14ac:dyDescent="0.35">
      <c r="A25" s="127"/>
      <c r="B25" s="182"/>
      <c r="C25" s="125"/>
      <c r="D25" s="128"/>
      <c r="E25" s="125"/>
      <c r="F25" s="125"/>
      <c r="G25" s="125"/>
      <c r="H25" s="125"/>
      <c r="I25" s="125"/>
      <c r="J25" s="128"/>
      <c r="K25" s="125"/>
      <c r="L25" s="125"/>
      <c r="M25" s="128"/>
      <c r="N25" s="125"/>
      <c r="O25" s="125"/>
      <c r="P25" s="125"/>
      <c r="Q25" s="125"/>
      <c r="R25" s="128"/>
      <c r="S25" s="125"/>
      <c r="T25" s="125"/>
      <c r="U25" s="125"/>
      <c r="V25" s="128"/>
    </row>
    <row r="26" spans="1:24" x14ac:dyDescent="0.35">
      <c r="A26" s="127"/>
      <c r="B26" s="3" t="s">
        <v>307</v>
      </c>
      <c r="D26" s="194">
        <v>2005</v>
      </c>
      <c r="E26" s="30">
        <v>2005</v>
      </c>
      <c r="F26" s="193">
        <v>2005</v>
      </c>
      <c r="G26" s="193">
        <v>2005</v>
      </c>
      <c r="H26" s="193">
        <v>2005</v>
      </c>
      <c r="I26" s="193">
        <v>2005</v>
      </c>
      <c r="J26" s="194">
        <v>2005</v>
      </c>
      <c r="K26" s="30">
        <v>2005</v>
      </c>
      <c r="L26" s="193">
        <v>2005</v>
      </c>
      <c r="M26" s="194">
        <v>2005</v>
      </c>
      <c r="N26" s="30">
        <v>2002</v>
      </c>
      <c r="O26" s="193">
        <v>2005</v>
      </c>
      <c r="P26" s="193">
        <v>2005</v>
      </c>
      <c r="Q26" s="193">
        <v>2005</v>
      </c>
      <c r="R26" s="194">
        <v>2005</v>
      </c>
      <c r="S26" s="30">
        <v>2005</v>
      </c>
      <c r="T26" s="193">
        <v>2005</v>
      </c>
      <c r="U26" s="193">
        <v>2005</v>
      </c>
      <c r="V26" s="194">
        <v>2005</v>
      </c>
    </row>
    <row r="27" spans="1:24" s="6" customFormat="1" x14ac:dyDescent="0.35">
      <c r="A27" s="127"/>
      <c r="B27" s="3" t="s">
        <v>308</v>
      </c>
      <c r="C27"/>
      <c r="D27" s="166">
        <v>2016</v>
      </c>
      <c r="E27" s="31">
        <v>2016</v>
      </c>
      <c r="F27" s="4">
        <v>2016</v>
      </c>
      <c r="G27" s="4">
        <v>2016</v>
      </c>
      <c r="H27" s="4">
        <v>2016</v>
      </c>
      <c r="I27" s="4">
        <v>2016</v>
      </c>
      <c r="J27" s="166">
        <v>2016</v>
      </c>
      <c r="K27" s="31">
        <v>2016</v>
      </c>
      <c r="L27" s="4">
        <v>2016</v>
      </c>
      <c r="M27" s="166">
        <v>2016</v>
      </c>
      <c r="N27" s="31">
        <v>2016</v>
      </c>
      <c r="O27" s="4">
        <v>2016</v>
      </c>
      <c r="P27" s="4">
        <v>2016</v>
      </c>
      <c r="Q27" s="4">
        <v>2016</v>
      </c>
      <c r="R27" s="166">
        <v>2016</v>
      </c>
      <c r="S27" s="31">
        <v>2016</v>
      </c>
      <c r="T27" s="4">
        <v>2016</v>
      </c>
      <c r="U27" s="4">
        <v>2016</v>
      </c>
      <c r="V27" s="166">
        <v>2016</v>
      </c>
    </row>
    <row r="28" spans="1:24" x14ac:dyDescent="0.35">
      <c r="A28" s="127"/>
      <c r="B28" s="117" t="s">
        <v>309</v>
      </c>
      <c r="C28" s="6"/>
      <c r="D28" s="166">
        <v>468.2</v>
      </c>
      <c r="E28" s="31">
        <v>468.2</v>
      </c>
      <c r="F28" s="4">
        <v>468.2</v>
      </c>
      <c r="G28" s="4">
        <v>468.2</v>
      </c>
      <c r="H28" s="4">
        <v>468.2</v>
      </c>
      <c r="I28" s="4">
        <v>468.2</v>
      </c>
      <c r="J28" s="166">
        <v>468.2</v>
      </c>
      <c r="K28" s="31">
        <v>468.2</v>
      </c>
      <c r="L28" s="4">
        <v>468.2</v>
      </c>
      <c r="M28" s="166">
        <v>468.2</v>
      </c>
      <c r="N28" s="31">
        <v>395.6</v>
      </c>
      <c r="O28" s="4">
        <v>468.2</v>
      </c>
      <c r="P28" s="4">
        <v>468.2</v>
      </c>
      <c r="Q28" s="4">
        <v>468.2</v>
      </c>
      <c r="R28" s="166">
        <v>468.2</v>
      </c>
      <c r="S28" s="31">
        <v>468.2</v>
      </c>
      <c r="T28" s="4">
        <v>468.2</v>
      </c>
      <c r="U28" s="4">
        <v>468.2</v>
      </c>
      <c r="V28" s="166">
        <v>468.2</v>
      </c>
      <c r="W28" s="6"/>
      <c r="X28" s="6"/>
    </row>
    <row r="29" spans="1:24" x14ac:dyDescent="0.35">
      <c r="A29" s="127"/>
      <c r="B29" s="3" t="s">
        <v>310</v>
      </c>
      <c r="D29" s="166">
        <v>556.79999999999995</v>
      </c>
      <c r="E29" s="31">
        <v>556.79999999999995</v>
      </c>
      <c r="F29" s="4">
        <v>556.79999999999995</v>
      </c>
      <c r="G29" s="4">
        <v>556.79999999999995</v>
      </c>
      <c r="H29" s="4">
        <v>556.79999999999995</v>
      </c>
      <c r="I29" s="4">
        <v>556.79999999999995</v>
      </c>
      <c r="J29" s="166">
        <v>556.79999999999995</v>
      </c>
      <c r="K29" s="31">
        <v>556.79999999999995</v>
      </c>
      <c r="L29" s="4">
        <v>556.79999999999995</v>
      </c>
      <c r="M29" s="166">
        <v>556.79999999999995</v>
      </c>
      <c r="N29" s="31">
        <v>556.79999999999995</v>
      </c>
      <c r="O29" s="4">
        <v>556.79999999999995</v>
      </c>
      <c r="P29" s="4">
        <v>556.79999999999995</v>
      </c>
      <c r="Q29" s="4">
        <v>556.79999999999995</v>
      </c>
      <c r="R29" s="166">
        <v>556.79999999999995</v>
      </c>
      <c r="S29" s="31">
        <v>556.79999999999995</v>
      </c>
      <c r="T29" s="4">
        <v>556.79999999999995</v>
      </c>
      <c r="U29" s="4">
        <v>556.79999999999995</v>
      </c>
      <c r="V29" s="166">
        <v>556.79999999999995</v>
      </c>
    </row>
    <row r="30" spans="1:24" x14ac:dyDescent="0.35">
      <c r="A30" s="127"/>
      <c r="B30" s="3" t="s">
        <v>304</v>
      </c>
      <c r="D30" s="454">
        <f ca="1">D23*D29/D28</f>
        <v>1076272.4094102348</v>
      </c>
      <c r="E30" s="159">
        <f t="shared" ref="E30:V30" ca="1" si="3">E23*E29/E28</f>
        <v>145160.3268533558</v>
      </c>
      <c r="F30" s="159">
        <f t="shared" ca="1" si="3"/>
        <v>1201482.3756485132</v>
      </c>
      <c r="G30" s="159">
        <f t="shared" ca="1" si="3"/>
        <v>706468.24698636425</v>
      </c>
      <c r="H30" s="159">
        <f t="shared" ca="1" si="3"/>
        <v>3012261.7214201251</v>
      </c>
      <c r="I30" s="159">
        <f t="shared" ca="1" si="3"/>
        <v>2412821.8308795779</v>
      </c>
      <c r="J30" s="168">
        <f t="shared" ca="1" si="3"/>
        <v>907833.28879570949</v>
      </c>
      <c r="K30" s="159">
        <f t="shared" ca="1" si="3"/>
        <v>118243.58530911391</v>
      </c>
      <c r="L30" s="159">
        <f t="shared" ca="1" si="3"/>
        <v>173724.45307952829</v>
      </c>
      <c r="M30" s="168">
        <f t="shared" ca="1" si="3"/>
        <v>132427.4221150798</v>
      </c>
      <c r="N30" s="159">
        <f t="shared" ca="1" si="3"/>
        <v>1244532.7901136803</v>
      </c>
      <c r="O30" s="159">
        <f t="shared" ca="1" si="3"/>
        <v>124.80142532473873</v>
      </c>
      <c r="P30" s="159">
        <f t="shared" ca="1" si="3"/>
        <v>950.7555641533645</v>
      </c>
      <c r="Q30" s="159">
        <f t="shared" ca="1" si="3"/>
        <v>1016.6559581376864</v>
      </c>
      <c r="R30" s="168">
        <f t="shared" ca="1" si="3"/>
        <v>471.4031820169688</v>
      </c>
      <c r="S30" s="159">
        <f t="shared" ca="1" si="3"/>
        <v>410974.16496984015</v>
      </c>
      <c r="T30" s="159">
        <f t="shared" ca="1" si="3"/>
        <v>538250.9600246487</v>
      </c>
      <c r="U30" s="159">
        <f t="shared" ca="1" si="3"/>
        <v>6563.47058489355</v>
      </c>
      <c r="V30" s="168">
        <f t="shared" ca="1" si="3"/>
        <v>8084.1335025816807</v>
      </c>
    </row>
    <row r="31" spans="1:24" x14ac:dyDescent="0.35">
      <c r="A31" s="127"/>
      <c r="B31" s="3"/>
      <c r="D31" s="168"/>
      <c r="E31" s="159"/>
      <c r="F31" s="159"/>
      <c r="G31" s="159"/>
      <c r="H31" s="159"/>
      <c r="I31" s="159"/>
      <c r="J31" s="168"/>
      <c r="K31" s="159"/>
      <c r="L31" s="159"/>
      <c r="M31" s="168"/>
      <c r="N31" s="159"/>
      <c r="O31" s="159"/>
      <c r="P31" s="159"/>
      <c r="Q31" s="159"/>
      <c r="R31" s="168"/>
      <c r="S31" s="159"/>
      <c r="T31" s="159"/>
      <c r="U31" s="159"/>
      <c r="V31" s="168"/>
    </row>
    <row r="32" spans="1:24" x14ac:dyDescent="0.35">
      <c r="A32" s="127"/>
      <c r="B32" s="182"/>
      <c r="C32" s="125"/>
      <c r="D32" s="184"/>
      <c r="E32" s="183"/>
      <c r="F32" s="183"/>
      <c r="G32" s="183"/>
      <c r="H32" s="183"/>
      <c r="I32" s="183"/>
      <c r="J32" s="184"/>
      <c r="K32" s="183"/>
      <c r="L32" s="183"/>
      <c r="M32" s="184"/>
      <c r="N32" s="183"/>
      <c r="O32" s="183"/>
      <c r="P32" s="183"/>
      <c r="Q32" s="183"/>
      <c r="R32" s="184"/>
      <c r="S32" s="183"/>
      <c r="T32" s="183"/>
      <c r="U32" s="183"/>
      <c r="V32" s="184"/>
    </row>
    <row r="33" spans="1:22" x14ac:dyDescent="0.35">
      <c r="A33" s="127"/>
      <c r="B33" s="187" t="s">
        <v>295</v>
      </c>
      <c r="C33" s="188"/>
      <c r="D33" s="195">
        <f t="shared" ref="D33:V33" ca="1" si="4">D30*D15</f>
        <v>12915268.912922818</v>
      </c>
      <c r="E33" s="189">
        <f t="shared" ca="1" si="4"/>
        <v>145160.3268533558</v>
      </c>
      <c r="F33" s="189">
        <f t="shared" ca="1" si="4"/>
        <v>4805929.5025940528</v>
      </c>
      <c r="G33" s="189">
        <f t="shared" ca="1" si="4"/>
        <v>706468.24698636425</v>
      </c>
      <c r="H33" s="189">
        <f t="shared" ca="1" si="4"/>
        <v>3012261.7214201251</v>
      </c>
      <c r="I33" s="189">
        <f t="shared" ca="1" si="4"/>
        <v>2412821.8308795779</v>
      </c>
      <c r="J33" s="195">
        <f t="shared" ca="1" si="4"/>
        <v>907833.28879570949</v>
      </c>
      <c r="K33" s="189">
        <f t="shared" ca="1" si="4"/>
        <v>236487.17061822783</v>
      </c>
      <c r="L33" s="189">
        <f t="shared" ca="1" si="4"/>
        <v>173724.45307952829</v>
      </c>
      <c r="M33" s="195">
        <f t="shared" ca="1" si="4"/>
        <v>132427.4221150798</v>
      </c>
      <c r="N33" s="189">
        <f t="shared" ca="1" si="4"/>
        <v>2489065.5802273606</v>
      </c>
      <c r="O33" s="189">
        <f t="shared" ca="1" si="4"/>
        <v>124.80142532473873</v>
      </c>
      <c r="P33" s="189">
        <f t="shared" ca="1" si="4"/>
        <v>950.7555641533645</v>
      </c>
      <c r="Q33" s="189">
        <f t="shared" ca="1" si="4"/>
        <v>1016.6559581376864</v>
      </c>
      <c r="R33" s="195">
        <f t="shared" ca="1" si="4"/>
        <v>5656.8381842036251</v>
      </c>
      <c r="S33" s="189">
        <f t="shared" ca="1" si="4"/>
        <v>410974.16496984015</v>
      </c>
      <c r="T33" s="189">
        <f t="shared" ca="1" si="4"/>
        <v>6459011.5202957839</v>
      </c>
      <c r="U33" s="189">
        <f t="shared" ca="1" si="4"/>
        <v>6563.47058489355</v>
      </c>
      <c r="V33" s="195">
        <f t="shared" ca="1" si="4"/>
        <v>24252.400507745042</v>
      </c>
    </row>
    <row r="34" spans="1:22" x14ac:dyDescent="0.35">
      <c r="A34" s="127"/>
      <c r="B34" s="187"/>
      <c r="C34" s="188"/>
      <c r="D34" s="195"/>
      <c r="E34" s="189"/>
      <c r="F34" s="189"/>
      <c r="G34" s="189"/>
      <c r="H34" s="189"/>
      <c r="I34" s="189"/>
      <c r="J34" s="195"/>
      <c r="K34" s="189"/>
      <c r="L34" s="189"/>
      <c r="M34" s="195"/>
      <c r="N34" s="189"/>
      <c r="O34" s="189"/>
      <c r="P34" s="189"/>
      <c r="Q34" s="189"/>
      <c r="R34" s="195"/>
      <c r="S34" s="189"/>
      <c r="T34" s="189"/>
      <c r="U34" s="189"/>
      <c r="V34" s="195"/>
    </row>
    <row r="35" spans="1:22" x14ac:dyDescent="0.35">
      <c r="A35" s="127"/>
      <c r="B35" s="182"/>
      <c r="C35" s="125"/>
      <c r="D35" s="184"/>
      <c r="E35" s="183"/>
      <c r="F35" s="183"/>
      <c r="G35" s="183"/>
      <c r="H35" s="183"/>
      <c r="I35" s="183"/>
      <c r="J35" s="184"/>
      <c r="K35" s="183"/>
      <c r="L35" s="183"/>
      <c r="M35" s="184"/>
      <c r="N35" s="183"/>
      <c r="O35" s="183"/>
      <c r="P35" s="183"/>
      <c r="Q35" s="183"/>
      <c r="R35" s="184"/>
      <c r="S35" s="183"/>
      <c r="T35" s="183"/>
      <c r="U35" s="183"/>
      <c r="V35" s="184"/>
    </row>
    <row r="36" spans="1:22" x14ac:dyDescent="0.35">
      <c r="A36" s="127"/>
      <c r="B36" s="3" t="s">
        <v>279</v>
      </c>
      <c r="D36" s="165">
        <v>0.2</v>
      </c>
      <c r="E36" s="161">
        <v>0.3</v>
      </c>
      <c r="F36" s="27">
        <v>0.3</v>
      </c>
      <c r="G36" s="27">
        <v>0.3</v>
      </c>
      <c r="H36" s="27">
        <v>0.3</v>
      </c>
      <c r="I36" s="27">
        <v>0.3</v>
      </c>
      <c r="J36" s="165">
        <v>0.3</v>
      </c>
      <c r="K36" s="161">
        <v>0.3</v>
      </c>
      <c r="L36" s="27">
        <v>0.5</v>
      </c>
      <c r="M36" s="165">
        <v>0.5</v>
      </c>
      <c r="N36" s="161">
        <v>0.5</v>
      </c>
      <c r="O36" s="27">
        <v>0.5</v>
      </c>
      <c r="P36" s="27">
        <v>0.5</v>
      </c>
      <c r="Q36" s="27">
        <v>0.5</v>
      </c>
      <c r="R36" s="165">
        <v>0.5</v>
      </c>
      <c r="S36" s="161">
        <v>0.5</v>
      </c>
      <c r="T36" s="27">
        <v>0.5</v>
      </c>
      <c r="U36" s="27">
        <v>0.5</v>
      </c>
      <c r="V36" s="165">
        <v>0.5</v>
      </c>
    </row>
    <row r="37" spans="1:22" x14ac:dyDescent="0.35">
      <c r="A37" s="127"/>
      <c r="B37" s="187" t="s">
        <v>280</v>
      </c>
      <c r="C37" s="188"/>
      <c r="D37" s="195">
        <f t="shared" ref="D37:V37" ca="1" si="5">D36*D33</f>
        <v>2583053.7825845638</v>
      </c>
      <c r="E37" s="189">
        <f t="shared" ca="1" si="5"/>
        <v>43548.09805600674</v>
      </c>
      <c r="F37" s="189">
        <f t="shared" ca="1" si="5"/>
        <v>1441778.8507782158</v>
      </c>
      <c r="G37" s="189">
        <f t="shared" ca="1" si="5"/>
        <v>211940.47409590927</v>
      </c>
      <c r="H37" s="189">
        <f t="shared" ca="1" si="5"/>
        <v>903678.51642603753</v>
      </c>
      <c r="I37" s="189">
        <f t="shared" ca="1" si="5"/>
        <v>723846.54926387337</v>
      </c>
      <c r="J37" s="189">
        <f t="shared" ca="1" si="5"/>
        <v>272349.98663871281</v>
      </c>
      <c r="K37" s="196">
        <f t="shared" ca="1" si="5"/>
        <v>70946.151185468349</v>
      </c>
      <c r="L37" s="189">
        <f t="shared" ca="1" si="5"/>
        <v>86862.226539764146</v>
      </c>
      <c r="M37" s="189">
        <f t="shared" ca="1" si="5"/>
        <v>66213.711057539898</v>
      </c>
      <c r="N37" s="196">
        <f t="shared" ca="1" si="5"/>
        <v>1244532.7901136803</v>
      </c>
      <c r="O37" s="189">
        <f t="shared" ca="1" si="5"/>
        <v>62.400712662369365</v>
      </c>
      <c r="P37" s="189">
        <f t="shared" ca="1" si="5"/>
        <v>475.37778207668225</v>
      </c>
      <c r="Q37" s="189">
        <f t="shared" ca="1" si="5"/>
        <v>508.32797906884321</v>
      </c>
      <c r="R37" s="197">
        <f t="shared" ca="1" si="5"/>
        <v>2828.4190921018126</v>
      </c>
      <c r="S37" s="189">
        <f t="shared" ca="1" si="5"/>
        <v>205487.08248492007</v>
      </c>
      <c r="T37" s="189">
        <f t="shared" ca="1" si="5"/>
        <v>3229505.7601478919</v>
      </c>
      <c r="U37" s="189">
        <f t="shared" ca="1" si="5"/>
        <v>3281.735292446775</v>
      </c>
      <c r="V37" s="195">
        <f t="shared" ca="1" si="5"/>
        <v>12126.200253872521</v>
      </c>
    </row>
    <row r="38" spans="1:22" x14ac:dyDescent="0.35">
      <c r="A38" s="127"/>
      <c r="B38" s="181"/>
      <c r="C38" s="142"/>
      <c r="D38" s="173"/>
      <c r="E38" s="142"/>
      <c r="F38" s="142"/>
      <c r="G38" s="142"/>
      <c r="H38" s="142"/>
      <c r="I38" s="142"/>
      <c r="J38" s="173"/>
      <c r="K38" s="142"/>
      <c r="L38" s="142"/>
      <c r="M38" s="173"/>
      <c r="N38" s="142"/>
      <c r="O38" s="142"/>
      <c r="P38" s="142"/>
      <c r="Q38" s="142"/>
      <c r="R38" s="173"/>
      <c r="S38" s="142"/>
      <c r="T38" s="142"/>
      <c r="U38" s="142"/>
      <c r="V38" s="173"/>
    </row>
    <row r="51" spans="9:10" x14ac:dyDescent="0.35">
      <c r="I51" s="142" t="s">
        <v>566</v>
      </c>
      <c r="J51" s="142"/>
    </row>
    <row r="52" spans="9:10" x14ac:dyDescent="0.35">
      <c r="I52" t="s">
        <v>324</v>
      </c>
      <c r="J52" s="159">
        <f ca="1">D37</f>
        <v>2583053.7825845638</v>
      </c>
    </row>
    <row r="53" spans="9:10" x14ac:dyDescent="0.35">
      <c r="I53" t="s">
        <v>197</v>
      </c>
      <c r="J53" s="159">
        <f ca="1">SUM(E37:J37)</f>
        <v>3597142.4752587555</v>
      </c>
    </row>
    <row r="54" spans="9:10" x14ac:dyDescent="0.35">
      <c r="I54" t="s">
        <v>563</v>
      </c>
      <c r="J54" s="159">
        <f ca="1">SUM(K37:M37)</f>
        <v>224022.08878277242</v>
      </c>
    </row>
    <row r="55" spans="9:10" x14ac:dyDescent="0.35">
      <c r="I55" t="s">
        <v>564</v>
      </c>
      <c r="J55" s="159">
        <f ca="1">N37</f>
        <v>1244532.7901136803</v>
      </c>
    </row>
    <row r="56" spans="9:10" x14ac:dyDescent="0.35">
      <c r="I56" t="s">
        <v>442</v>
      </c>
      <c r="J56" s="159">
        <f ca="1">SUM(S37:T37)</f>
        <v>3434992.842632812</v>
      </c>
    </row>
    <row r="57" spans="9:10" x14ac:dyDescent="0.35">
      <c r="I57" t="s">
        <v>565</v>
      </c>
      <c r="J57" s="159">
        <f ca="1">SUM(O37:R37,U37:V37)</f>
        <v>19282.461112229004</v>
      </c>
    </row>
    <row r="76" spans="3:4" x14ac:dyDescent="0.35">
      <c r="C76" s="25"/>
    </row>
    <row r="77" spans="3:4" x14ac:dyDescent="0.35">
      <c r="D77" s="25"/>
    </row>
    <row r="78" spans="3:4" x14ac:dyDescent="0.35">
      <c r="D78" s="25"/>
    </row>
    <row r="79" spans="3:4" x14ac:dyDescent="0.35">
      <c r="D79" s="25"/>
    </row>
    <row r="80" spans="3:4" x14ac:dyDescent="0.35">
      <c r="D80" s="25"/>
    </row>
    <row r="81" spans="4:4" x14ac:dyDescent="0.35">
      <c r="D81" s="25"/>
    </row>
  </sheetData>
  <mergeCells count="2">
    <mergeCell ref="E5:F5"/>
    <mergeCell ref="E6:F6"/>
  </mergeCells>
  <pageMargins left="0.7" right="0.7" top="0.75" bottom="0.75" header="0.3" footer="0.3"/>
  <pageSetup orientation="portrait" horizontalDpi="4294967293"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tint="0.39997558519241921"/>
  </sheetPr>
  <dimension ref="A1:R56"/>
  <sheetViews>
    <sheetView showGridLines="0" zoomScale="85" zoomScaleNormal="85" workbookViewId="0">
      <selection activeCell="M66" sqref="M66"/>
    </sheetView>
  </sheetViews>
  <sheetFormatPr defaultColWidth="14.26953125" defaultRowHeight="14.5" x14ac:dyDescent="0.35"/>
  <cols>
    <col min="1" max="1" width="2.81640625" customWidth="1"/>
    <col min="4" max="4" width="11.453125" customWidth="1"/>
    <col min="5" max="5" width="17.26953125" customWidth="1"/>
    <col min="6" max="6" width="22.81640625" customWidth="1"/>
    <col min="11" max="11" width="16" customWidth="1"/>
    <col min="12" max="12" width="21.453125" bestFit="1" customWidth="1"/>
  </cols>
  <sheetData>
    <row r="1" spans="1:18" s="146" customFormat="1" ht="26" x14ac:dyDescent="0.6">
      <c r="A1" s="145" t="s">
        <v>311</v>
      </c>
      <c r="I1" s="147"/>
      <c r="N1" s="148"/>
      <c r="Q1" s="149"/>
      <c r="R1" s="150"/>
    </row>
    <row r="2" spans="1:18" ht="15.5" x14ac:dyDescent="0.35">
      <c r="B2" s="151" t="s">
        <v>312</v>
      </c>
    </row>
    <row r="5" spans="1:18" ht="23.5" x14ac:dyDescent="0.55000000000000004">
      <c r="B5" s="140" t="s">
        <v>403</v>
      </c>
      <c r="C5" s="140"/>
      <c r="D5" s="120"/>
      <c r="E5" s="185"/>
      <c r="F5" s="120"/>
      <c r="H5" s="140" t="s">
        <v>402</v>
      </c>
      <c r="I5" s="140"/>
      <c r="J5" s="140"/>
      <c r="K5" s="185"/>
      <c r="L5" s="120"/>
    </row>
    <row r="6" spans="1:18" x14ac:dyDescent="0.35">
      <c r="B6" s="3" t="s">
        <v>314</v>
      </c>
      <c r="F6" s="159">
        <f ca="1">F38</f>
        <v>80020669.033694208</v>
      </c>
      <c r="H6" s="3" t="s">
        <v>403</v>
      </c>
      <c r="L6" s="307">
        <f ca="1">DirectFixedCapital</f>
        <v>128833277.14424767</v>
      </c>
    </row>
    <row r="7" spans="1:18" x14ac:dyDescent="0.35">
      <c r="B7" s="3" t="s">
        <v>315</v>
      </c>
      <c r="F7" s="159">
        <f ca="1">F44</f>
        <v>32008267.613477685</v>
      </c>
      <c r="H7" s="3" t="s">
        <v>293</v>
      </c>
      <c r="J7" s="302">
        <v>0.1</v>
      </c>
      <c r="K7" t="s">
        <v>401</v>
      </c>
      <c r="L7" s="307">
        <f ca="1">J7*(Cost_RawMaterials+Cost_Labor+Cost_Utilities+Cost_Waste)</f>
        <v>1515000.3406886535</v>
      </c>
    </row>
    <row r="8" spans="1:18" x14ac:dyDescent="0.35">
      <c r="B8" s="134" t="s">
        <v>290</v>
      </c>
      <c r="C8" s="124"/>
      <c r="D8" s="124"/>
      <c r="E8" s="124"/>
      <c r="F8" s="186">
        <f ca="1">F50</f>
        <v>16804340.497075785</v>
      </c>
      <c r="H8" s="134" t="s">
        <v>400</v>
      </c>
      <c r="I8" s="124"/>
      <c r="J8" s="303">
        <v>0.1</v>
      </c>
      <c r="K8" s="301" t="s">
        <v>405</v>
      </c>
      <c r="L8" s="308">
        <f ca="1">J8*DirectFixedCapital</f>
        <v>12883327.714424767</v>
      </c>
    </row>
    <row r="9" spans="1:18" ht="23.5" x14ac:dyDescent="0.55000000000000004">
      <c r="B9" s="306" t="s">
        <v>59</v>
      </c>
      <c r="C9" s="306"/>
      <c r="D9" s="306"/>
      <c r="E9" s="306"/>
      <c r="F9" s="309">
        <f ca="1">SUM(F6:F8)</f>
        <v>128833277.14424767</v>
      </c>
      <c r="H9" s="306" t="s">
        <v>59</v>
      </c>
      <c r="I9" s="306"/>
      <c r="J9" s="306"/>
      <c r="K9" s="306"/>
      <c r="L9" s="309">
        <f ca="1">SUM(L6:L8)</f>
        <v>143231605.19936109</v>
      </c>
    </row>
    <row r="10" spans="1:18" x14ac:dyDescent="0.35">
      <c r="B10" s="6"/>
      <c r="C10" s="6"/>
      <c r="D10" s="6"/>
      <c r="E10" s="6"/>
      <c r="F10" s="6"/>
      <c r="G10" s="6"/>
      <c r="H10" s="6"/>
      <c r="I10" s="6"/>
      <c r="J10" s="6"/>
      <c r="K10" s="6"/>
      <c r="L10" s="6"/>
    </row>
    <row r="11" spans="1:18" x14ac:dyDescent="0.35">
      <c r="B11" s="6"/>
      <c r="C11" s="6"/>
      <c r="D11" s="6"/>
      <c r="E11" s="6"/>
      <c r="F11" s="6"/>
      <c r="G11" s="6"/>
      <c r="H11" s="6"/>
      <c r="I11" s="6"/>
      <c r="J11" s="6"/>
      <c r="K11" s="6"/>
      <c r="L11" s="6"/>
    </row>
    <row r="12" spans="1:18" x14ac:dyDescent="0.35">
      <c r="B12" s="6"/>
      <c r="C12" s="6"/>
      <c r="D12" s="6"/>
      <c r="E12" s="6"/>
      <c r="F12" s="6"/>
      <c r="G12" s="6"/>
      <c r="H12" s="6"/>
      <c r="I12" s="6"/>
      <c r="J12" s="6"/>
      <c r="K12" s="6"/>
      <c r="L12" s="6"/>
    </row>
    <row r="13" spans="1:18" x14ac:dyDescent="0.35">
      <c r="B13" s="6"/>
      <c r="C13" s="6"/>
      <c r="D13" s="6"/>
      <c r="E13" s="6"/>
      <c r="F13" s="6"/>
      <c r="G13" s="6"/>
      <c r="H13" s="6"/>
      <c r="I13" s="6"/>
      <c r="J13" s="6"/>
      <c r="K13" s="6"/>
      <c r="L13" s="6"/>
    </row>
    <row r="14" spans="1:18" x14ac:dyDescent="0.35">
      <c r="B14" s="6"/>
      <c r="C14" s="6"/>
      <c r="D14" s="6"/>
      <c r="E14" s="6"/>
      <c r="F14" s="456"/>
      <c r="G14" s="6"/>
      <c r="H14" s="6"/>
      <c r="I14" s="6"/>
      <c r="J14" s="6"/>
      <c r="K14" s="6"/>
      <c r="L14" s="6"/>
    </row>
    <row r="15" spans="1:18" x14ac:dyDescent="0.35">
      <c r="B15" s="6"/>
      <c r="C15" s="6"/>
      <c r="D15" s="6"/>
      <c r="E15" s="6"/>
      <c r="F15" s="6"/>
      <c r="G15" s="6"/>
      <c r="H15" s="6"/>
      <c r="I15" s="6"/>
      <c r="J15" s="6"/>
      <c r="K15" s="6"/>
      <c r="L15" s="6"/>
    </row>
    <row r="16" spans="1:18" x14ac:dyDescent="0.35">
      <c r="B16" s="6"/>
      <c r="C16" s="6"/>
      <c r="D16" s="6"/>
      <c r="E16" s="6"/>
      <c r="F16" s="6"/>
      <c r="G16" s="6"/>
      <c r="H16" s="6"/>
      <c r="I16" s="6"/>
      <c r="J16" s="6"/>
      <c r="K16" s="6"/>
      <c r="L16" s="6"/>
    </row>
    <row r="17" spans="1:12" x14ac:dyDescent="0.35">
      <c r="B17" s="6"/>
      <c r="C17" s="6"/>
      <c r="D17" s="6"/>
      <c r="E17" s="6"/>
      <c r="F17" s="6"/>
      <c r="G17" s="457"/>
      <c r="H17" s="6"/>
      <c r="I17" s="6"/>
      <c r="J17" s="6"/>
      <c r="K17" s="6"/>
      <c r="L17" s="6"/>
    </row>
    <row r="18" spans="1:12" x14ac:dyDescent="0.35">
      <c r="B18" s="6"/>
      <c r="C18" s="6"/>
      <c r="D18" s="6"/>
      <c r="E18" s="6"/>
      <c r="F18" s="6"/>
      <c r="G18" s="6"/>
      <c r="H18" s="6"/>
      <c r="I18" s="6"/>
      <c r="J18" s="6"/>
      <c r="K18" s="6"/>
      <c r="L18" s="6"/>
    </row>
    <row r="19" spans="1:12" x14ac:dyDescent="0.35">
      <c r="B19" s="6"/>
      <c r="C19" s="6"/>
      <c r="D19" s="6"/>
      <c r="E19" s="6"/>
      <c r="F19" s="6"/>
      <c r="G19" s="6"/>
      <c r="H19" s="6"/>
      <c r="I19" s="6"/>
      <c r="J19" s="6"/>
      <c r="K19" s="6"/>
      <c r="L19" s="6"/>
    </row>
    <row r="20" spans="1:12" x14ac:dyDescent="0.35">
      <c r="B20" s="6"/>
      <c r="C20" s="6"/>
      <c r="D20" s="6"/>
      <c r="E20" s="6"/>
      <c r="F20" s="6"/>
      <c r="G20" s="6"/>
      <c r="H20" s="6"/>
      <c r="I20" s="6"/>
      <c r="J20" s="6"/>
      <c r="K20" s="6"/>
      <c r="L20" s="6"/>
    </row>
    <row r="21" spans="1:12" x14ac:dyDescent="0.35">
      <c r="B21" s="6"/>
      <c r="C21" s="6"/>
      <c r="D21" s="6"/>
      <c r="E21" s="6"/>
      <c r="F21" s="6"/>
      <c r="G21" s="6"/>
      <c r="H21" s="6"/>
      <c r="I21" s="6"/>
      <c r="J21" s="6"/>
      <c r="K21" s="6"/>
      <c r="L21" s="6"/>
    </row>
    <row r="22" spans="1:12" x14ac:dyDescent="0.35">
      <c r="B22" s="6"/>
      <c r="C22" s="6"/>
      <c r="D22" s="6"/>
      <c r="E22" s="6"/>
      <c r="F22" s="6"/>
      <c r="G22" s="6"/>
      <c r="H22" s="6"/>
      <c r="I22" s="6"/>
      <c r="J22" s="6"/>
      <c r="K22" s="6"/>
      <c r="L22" s="6"/>
    </row>
    <row r="23" spans="1:12" x14ac:dyDescent="0.35">
      <c r="B23" s="6"/>
      <c r="C23" s="6"/>
      <c r="D23" s="6"/>
      <c r="E23" s="6"/>
      <c r="F23" s="6"/>
      <c r="G23" s="6"/>
      <c r="H23" s="6"/>
      <c r="I23" s="6"/>
      <c r="J23" s="6"/>
      <c r="K23" s="6"/>
      <c r="L23" s="6"/>
    </row>
    <row r="25" spans="1:12" s="136" customFormat="1" ht="21" x14ac:dyDescent="0.5">
      <c r="A25" s="137" t="s">
        <v>404</v>
      </c>
    </row>
    <row r="28" spans="1:12" ht="23.5" x14ac:dyDescent="0.55000000000000004">
      <c r="B28" s="140" t="s">
        <v>314</v>
      </c>
      <c r="C28" s="140"/>
      <c r="D28" s="185"/>
      <c r="E28" s="185"/>
      <c r="F28" s="120"/>
    </row>
    <row r="29" spans="1:12" x14ac:dyDescent="0.35">
      <c r="B29" s="3" t="s">
        <v>298</v>
      </c>
      <c r="D29" s="177"/>
      <c r="F29" s="159">
        <f ca="1">Eq_PurchasedCost</f>
        <v>38717776.737758085</v>
      </c>
    </row>
    <row r="30" spans="1:12" x14ac:dyDescent="0.35">
      <c r="B30" s="3" t="s">
        <v>299</v>
      </c>
      <c r="D30" s="177"/>
      <c r="F30" s="159">
        <f ca="1">Eq_InstallationCost</f>
        <v>13038915.277372718</v>
      </c>
    </row>
    <row r="31" spans="1:12" x14ac:dyDescent="0.35">
      <c r="B31" s="3" t="s">
        <v>281</v>
      </c>
      <c r="D31" s="302">
        <v>0.15</v>
      </c>
      <c r="E31" t="s">
        <v>397</v>
      </c>
      <c r="F31" s="159">
        <f t="shared" ref="F31:F37" ca="1" si="0">D31*Eq_PurchasedCost</f>
        <v>5807666.5106637124</v>
      </c>
    </row>
    <row r="32" spans="1:12" x14ac:dyDescent="0.35">
      <c r="B32" s="3" t="s">
        <v>282</v>
      </c>
      <c r="D32" s="302">
        <v>0.2</v>
      </c>
      <c r="E32" t="s">
        <v>397</v>
      </c>
      <c r="F32" s="159">
        <f t="shared" ca="1" si="0"/>
        <v>7743555.3475516178</v>
      </c>
    </row>
    <row r="33" spans="2:13" x14ac:dyDescent="0.35">
      <c r="B33" s="3" t="s">
        <v>283</v>
      </c>
      <c r="D33" s="302">
        <v>0.03</v>
      </c>
      <c r="E33" t="s">
        <v>397</v>
      </c>
      <c r="F33" s="159">
        <f t="shared" ca="1" si="0"/>
        <v>1161533.3021327425</v>
      </c>
    </row>
    <row r="34" spans="2:13" x14ac:dyDescent="0.35">
      <c r="B34" s="3" t="s">
        <v>284</v>
      </c>
      <c r="D34" s="302">
        <v>0.1</v>
      </c>
      <c r="E34" t="s">
        <v>397</v>
      </c>
      <c r="F34" s="159">
        <f t="shared" ca="1" si="0"/>
        <v>3871777.6737758089</v>
      </c>
    </row>
    <row r="35" spans="2:13" x14ac:dyDescent="0.35">
      <c r="B35" s="3" t="s">
        <v>285</v>
      </c>
      <c r="D35" s="302">
        <v>0.1</v>
      </c>
      <c r="E35" t="s">
        <v>397</v>
      </c>
      <c r="F35" s="159">
        <f t="shared" ca="1" si="0"/>
        <v>3871777.6737758089</v>
      </c>
    </row>
    <row r="36" spans="2:13" ht="15.5" x14ac:dyDescent="0.35">
      <c r="B36" s="3" t="s">
        <v>286</v>
      </c>
      <c r="D36" s="302">
        <v>0.05</v>
      </c>
      <c r="E36" t="s">
        <v>397</v>
      </c>
      <c r="F36" s="159">
        <f t="shared" ca="1" si="0"/>
        <v>1935888.8368879044</v>
      </c>
      <c r="I36" s="294"/>
      <c r="J36" s="304"/>
      <c r="K36" s="304"/>
      <c r="L36" s="304"/>
      <c r="M36" s="305"/>
    </row>
    <row r="37" spans="2:13" ht="15.5" x14ac:dyDescent="0.35">
      <c r="B37" s="134" t="s">
        <v>287</v>
      </c>
      <c r="C37" s="124"/>
      <c r="D37" s="303">
        <v>0.1</v>
      </c>
      <c r="E37" s="301" t="s">
        <v>397</v>
      </c>
      <c r="F37" s="186">
        <f t="shared" ca="1" si="0"/>
        <v>3871777.6737758089</v>
      </c>
      <c r="I37" s="294"/>
      <c r="J37" s="304"/>
      <c r="K37" s="304"/>
      <c r="L37" s="304"/>
      <c r="M37" s="305"/>
    </row>
    <row r="38" spans="2:13" x14ac:dyDescent="0.35">
      <c r="B38" s="187" t="s">
        <v>313</v>
      </c>
      <c r="C38" s="188"/>
      <c r="D38" s="248"/>
      <c r="F38" s="189">
        <f ca="1">SUM(F29:F37)</f>
        <v>80020669.033694208</v>
      </c>
    </row>
    <row r="39" spans="2:13" x14ac:dyDescent="0.35">
      <c r="D39" s="21"/>
      <c r="F39" s="455"/>
    </row>
    <row r="40" spans="2:13" x14ac:dyDescent="0.35">
      <c r="D40" s="21"/>
    </row>
    <row r="41" spans="2:13" ht="23.5" x14ac:dyDescent="0.55000000000000004">
      <c r="B41" s="140" t="s">
        <v>315</v>
      </c>
      <c r="C41" s="140"/>
      <c r="D41" s="120"/>
      <c r="E41" s="185"/>
      <c r="F41" s="120"/>
    </row>
    <row r="42" spans="2:13" x14ac:dyDescent="0.35">
      <c r="B42" s="3" t="s">
        <v>288</v>
      </c>
      <c r="D42" s="302">
        <v>0.15</v>
      </c>
      <c r="E42" t="s">
        <v>398</v>
      </c>
      <c r="F42" s="159">
        <f ca="1">D42*$F$38</f>
        <v>12003100.355054131</v>
      </c>
    </row>
    <row r="43" spans="2:13" x14ac:dyDescent="0.35">
      <c r="B43" s="134" t="s">
        <v>289</v>
      </c>
      <c r="C43" s="124"/>
      <c r="D43" s="303">
        <v>0.25</v>
      </c>
      <c r="E43" s="301" t="s">
        <v>398</v>
      </c>
      <c r="F43" s="186">
        <f ca="1">D43*$F$38</f>
        <v>20005167.258423552</v>
      </c>
    </row>
    <row r="44" spans="2:13" x14ac:dyDescent="0.35">
      <c r="B44" s="187" t="s">
        <v>396</v>
      </c>
      <c r="C44" s="188"/>
      <c r="D44" s="248"/>
      <c r="F44" s="189">
        <f ca="1">SUM(F42:F43)</f>
        <v>32008267.613477685</v>
      </c>
    </row>
    <row r="45" spans="2:13" x14ac:dyDescent="0.35">
      <c r="D45" s="21"/>
    </row>
    <row r="46" spans="2:13" x14ac:dyDescent="0.35">
      <c r="D46" s="21"/>
    </row>
    <row r="47" spans="2:13" ht="23.5" x14ac:dyDescent="0.55000000000000004">
      <c r="B47" s="140" t="s">
        <v>290</v>
      </c>
      <c r="C47" s="140"/>
      <c r="D47" s="120"/>
      <c r="E47" s="185"/>
      <c r="F47" s="120"/>
    </row>
    <row r="48" spans="2:13" x14ac:dyDescent="0.35">
      <c r="B48" s="3" t="s">
        <v>291</v>
      </c>
      <c r="D48" s="302">
        <v>0.05</v>
      </c>
      <c r="E48" t="s">
        <v>399</v>
      </c>
      <c r="F48" s="159">
        <f ca="1">D48*($F$38+$F$44)</f>
        <v>5601446.832358595</v>
      </c>
    </row>
    <row r="49" spans="2:7" x14ac:dyDescent="0.35">
      <c r="B49" s="134" t="s">
        <v>440</v>
      </c>
      <c r="C49" s="124"/>
      <c r="D49" s="303">
        <v>0.1</v>
      </c>
      <c r="E49" s="301" t="s">
        <v>399</v>
      </c>
      <c r="F49" s="186">
        <f ca="1">D49*($F$38+$F$44)</f>
        <v>11202893.66471719</v>
      </c>
    </row>
    <row r="50" spans="2:7" x14ac:dyDescent="0.35">
      <c r="B50" s="187" t="s">
        <v>59</v>
      </c>
      <c r="C50" s="188"/>
      <c r="D50" s="188"/>
      <c r="F50" s="189">
        <f ca="1">SUM(F48:F49)</f>
        <v>16804340.497075785</v>
      </c>
    </row>
    <row r="56" spans="2:7" x14ac:dyDescent="0.35">
      <c r="G56" s="6"/>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sheetPr>
  <dimension ref="A1:R84"/>
  <sheetViews>
    <sheetView showGridLines="0" zoomScale="85" zoomScaleNormal="85" workbookViewId="0">
      <selection activeCell="K72" sqref="K72"/>
    </sheetView>
  </sheetViews>
  <sheetFormatPr defaultColWidth="11.453125" defaultRowHeight="14.5" x14ac:dyDescent="0.35"/>
  <cols>
    <col min="1" max="1" width="2.81640625" customWidth="1"/>
    <col min="2" max="4" width="14.26953125" customWidth="1"/>
    <col min="5" max="5" width="16.453125" customWidth="1"/>
    <col min="6" max="9" width="14.26953125" customWidth="1"/>
    <col min="10" max="10" width="15.81640625" customWidth="1"/>
    <col min="11" max="16" width="14.26953125" customWidth="1"/>
  </cols>
  <sheetData>
    <row r="1" spans="1:18" s="146" customFormat="1" ht="26" x14ac:dyDescent="0.6">
      <c r="A1" s="145" t="s">
        <v>393</v>
      </c>
      <c r="I1" s="147"/>
      <c r="N1" s="148"/>
      <c r="Q1" s="149"/>
      <c r="R1" s="150"/>
    </row>
    <row r="2" spans="1:18" ht="15.5" x14ac:dyDescent="0.35">
      <c r="B2" s="151" t="s">
        <v>395</v>
      </c>
    </row>
    <row r="5" spans="1:18" ht="23.5" x14ac:dyDescent="0.55000000000000004">
      <c r="B5" s="140" t="s">
        <v>392</v>
      </c>
      <c r="C5" s="140"/>
      <c r="D5" s="120"/>
      <c r="E5" s="120" t="s">
        <v>378</v>
      </c>
    </row>
    <row r="6" spans="1:18" x14ac:dyDescent="0.35">
      <c r="B6" s="3" t="s">
        <v>84</v>
      </c>
      <c r="E6" s="159">
        <f ca="1">Cost_RawMaterials</f>
        <v>8136519.1297820173</v>
      </c>
      <c r="F6" s="1"/>
    </row>
    <row r="7" spans="1:18" x14ac:dyDescent="0.35">
      <c r="B7" s="117" t="s">
        <v>359</v>
      </c>
      <c r="C7" s="6"/>
      <c r="D7" s="6"/>
      <c r="E7" s="202">
        <f ca="1">Cost_Utilities</f>
        <v>5672477.9933996815</v>
      </c>
      <c r="F7" s="1"/>
    </row>
    <row r="8" spans="1:18" x14ac:dyDescent="0.35">
      <c r="B8" s="117" t="s">
        <v>316</v>
      </c>
      <c r="C8" s="6"/>
      <c r="D8" s="6"/>
      <c r="E8" s="202">
        <f ca="1">Cost_Labor</f>
        <v>756146.99999999988</v>
      </c>
      <c r="F8" s="1"/>
    </row>
    <row r="9" spans="1:18" x14ac:dyDescent="0.35">
      <c r="B9" s="117" t="s">
        <v>459</v>
      </c>
      <c r="C9" s="6"/>
      <c r="D9" s="6"/>
      <c r="E9" s="202">
        <f ca="1">Cost_Waste</f>
        <v>584859.28370483534</v>
      </c>
      <c r="F9" s="1"/>
    </row>
    <row r="10" spans="1:18" x14ac:dyDescent="0.35">
      <c r="B10" s="117" t="s">
        <v>388</v>
      </c>
      <c r="C10" s="6"/>
      <c r="D10" s="6"/>
      <c r="E10" s="202">
        <f ca="1">Cost_Facilities</f>
        <v>10313441.530988192</v>
      </c>
      <c r="F10" s="1"/>
    </row>
    <row r="11" spans="1:18" x14ac:dyDescent="0.35">
      <c r="B11" s="134" t="s">
        <v>458</v>
      </c>
      <c r="C11" s="124"/>
      <c r="D11" s="124"/>
      <c r="E11" s="186">
        <f>Cost_Lab</f>
        <v>21000</v>
      </c>
      <c r="F11" s="1"/>
    </row>
    <row r="12" spans="1:18" ht="18.5" x14ac:dyDescent="0.45">
      <c r="B12" s="295" t="s">
        <v>59</v>
      </c>
      <c r="C12" s="295"/>
      <c r="D12" s="296"/>
      <c r="E12" s="297">
        <f ca="1">SUM(E6:E11)</f>
        <v>25484444.937874727</v>
      </c>
    </row>
    <row r="14" spans="1:18" x14ac:dyDescent="0.35">
      <c r="F14" s="249"/>
    </row>
    <row r="15" spans="1:18" ht="23.5" x14ac:dyDescent="0.55000000000000004">
      <c r="B15" s="140" t="s">
        <v>394</v>
      </c>
      <c r="C15" s="140"/>
      <c r="D15" s="120"/>
      <c r="E15" s="120" t="s">
        <v>378</v>
      </c>
      <c r="F15" s="249"/>
    </row>
    <row r="16" spans="1:18" x14ac:dyDescent="0.35">
      <c r="B16" s="298" t="s">
        <v>418</v>
      </c>
      <c r="C16" s="299"/>
      <c r="D16" s="299"/>
      <c r="E16" s="300">
        <f ca="1">H31</f>
        <v>60000000</v>
      </c>
      <c r="F16" s="249"/>
    </row>
    <row r="17" spans="1:17" x14ac:dyDescent="0.35">
      <c r="B17" s="134"/>
      <c r="C17" s="124"/>
      <c r="D17" s="124"/>
      <c r="E17" s="186"/>
      <c r="F17" s="249"/>
    </row>
    <row r="18" spans="1:17" ht="18.5" x14ac:dyDescent="0.45">
      <c r="B18" s="295" t="s">
        <v>59</v>
      </c>
      <c r="C18" s="295"/>
      <c r="D18" s="296"/>
      <c r="E18" s="297">
        <f ca="1">SUM(E16:E17)</f>
        <v>60000000</v>
      </c>
      <c r="F18" s="249"/>
    </row>
    <row r="19" spans="1:17" x14ac:dyDescent="0.35">
      <c r="F19" s="249"/>
    </row>
    <row r="20" spans="1:17" x14ac:dyDescent="0.35">
      <c r="F20" s="249"/>
    </row>
    <row r="21" spans="1:17" x14ac:dyDescent="0.35">
      <c r="F21" s="249"/>
    </row>
    <row r="25" spans="1:17" s="136" customFormat="1" ht="21" x14ac:dyDescent="0.5">
      <c r="A25" s="137" t="s">
        <v>439</v>
      </c>
    </row>
    <row r="28" spans="1:17" ht="23.5" x14ac:dyDescent="0.55000000000000004">
      <c r="B28" s="140" t="s">
        <v>406</v>
      </c>
      <c r="C28" s="140"/>
      <c r="D28" s="120" t="s">
        <v>369</v>
      </c>
      <c r="E28" s="120"/>
      <c r="F28" s="120" t="s">
        <v>118</v>
      </c>
      <c r="G28" s="120" t="s">
        <v>370</v>
      </c>
      <c r="H28" s="120" t="s">
        <v>357</v>
      </c>
      <c r="J28" s="140" t="s">
        <v>84</v>
      </c>
      <c r="K28" s="140"/>
      <c r="L28" s="120" t="s">
        <v>369</v>
      </c>
      <c r="M28" s="120"/>
      <c r="N28" s="120" t="s">
        <v>118</v>
      </c>
      <c r="O28" s="120" t="s">
        <v>370</v>
      </c>
      <c r="P28" s="120" t="s">
        <v>357</v>
      </c>
    </row>
    <row r="29" spans="1:17" x14ac:dyDescent="0.35">
      <c r="B29" s="3" t="s">
        <v>24</v>
      </c>
      <c r="D29" s="362">
        <f>Dashboard!E17</f>
        <v>60</v>
      </c>
      <c r="E29" s="21"/>
      <c r="F29" s="22">
        <f ca="1">StreamTable(700,B29)</f>
        <v>83333.333333333328</v>
      </c>
      <c r="G29" s="22">
        <f ca="1">F29*Batches_per_year</f>
        <v>1000000</v>
      </c>
      <c r="H29" s="242">
        <f ca="1">D29*G29</f>
        <v>60000000</v>
      </c>
      <c r="J29" s="3" t="s">
        <v>85</v>
      </c>
      <c r="L29" s="241">
        <v>0</v>
      </c>
      <c r="M29" s="21"/>
      <c r="N29" s="22">
        <f ca="1">StreamTable(205,"Mass per batch")+StreamTable(605,"Mass per batch")</f>
        <v>28188819.669991083</v>
      </c>
      <c r="O29" s="22">
        <f t="shared" ref="O29:O38" ca="1" si="0">N29*Batches_per_year</f>
        <v>338265836.03989303</v>
      </c>
      <c r="P29" s="242">
        <f t="shared" ref="P29:P38" ca="1" si="1">L29*O29</f>
        <v>0</v>
      </c>
      <c r="Q29" s="1"/>
    </row>
    <row r="30" spans="1:17" x14ac:dyDescent="0.35">
      <c r="B30" s="134"/>
      <c r="C30" s="124"/>
      <c r="D30" s="245"/>
      <c r="E30" s="245"/>
      <c r="F30" s="246"/>
      <c r="G30" s="246"/>
      <c r="H30" s="247"/>
      <c r="J30" s="3" t="s">
        <v>16</v>
      </c>
      <c r="L30" s="362">
        <f>Dashboard!E18</f>
        <v>35</v>
      </c>
      <c r="M30" s="21"/>
      <c r="N30" s="22">
        <f ca="1">StreamTable(10,J30)</f>
        <v>2382.2332222163182</v>
      </c>
      <c r="O30" s="22">
        <f t="shared" ca="1" si="0"/>
        <v>28586.798666595816</v>
      </c>
      <c r="P30" s="242">
        <f t="shared" ca="1" si="1"/>
        <v>1000537.9533308536</v>
      </c>
      <c r="Q30" s="1"/>
    </row>
    <row r="31" spans="1:17" x14ac:dyDescent="0.35">
      <c r="B31" s="187" t="s">
        <v>59</v>
      </c>
      <c r="C31" s="187"/>
      <c r="D31" s="248"/>
      <c r="E31" s="249"/>
      <c r="F31" s="249"/>
      <c r="G31" s="250"/>
      <c r="H31" s="250">
        <f ca="1">SUM(H14:H30)</f>
        <v>60000000</v>
      </c>
      <c r="J31" s="3" t="s">
        <v>9</v>
      </c>
      <c r="L31" s="362">
        <f>Dashboard!E19</f>
        <v>1</v>
      </c>
      <c r="M31" s="21"/>
      <c r="N31" s="22">
        <f ca="1">StreamTable(5,J31)</f>
        <v>29777.915277703974</v>
      </c>
      <c r="O31" s="22">
        <f t="shared" ca="1" si="0"/>
        <v>357334.98333244771</v>
      </c>
      <c r="P31" s="242">
        <f t="shared" ca="1" si="1"/>
        <v>357334.98333244771</v>
      </c>
      <c r="Q31" s="1"/>
    </row>
    <row r="32" spans="1:17" x14ac:dyDescent="0.35">
      <c r="J32" s="14" t="s">
        <v>27</v>
      </c>
      <c r="L32" s="243">
        <v>1.5</v>
      </c>
      <c r="M32" s="21"/>
      <c r="N32" s="22">
        <f ca="1">StreamTable(10,J32)</f>
        <v>1191.1166111081591</v>
      </c>
      <c r="O32" s="22">
        <f t="shared" ca="1" si="0"/>
        <v>14293.399333297908</v>
      </c>
      <c r="P32" s="242">
        <f t="shared" ca="1" si="1"/>
        <v>21440.098999946862</v>
      </c>
      <c r="Q32" s="1"/>
    </row>
    <row r="33" spans="2:17" x14ac:dyDescent="0.35">
      <c r="J33" s="3" t="s">
        <v>26</v>
      </c>
      <c r="L33" s="243">
        <v>1.5</v>
      </c>
      <c r="M33" s="21"/>
      <c r="N33" s="22">
        <f ca="1">StreamTable(10,J33)</f>
        <v>1191.1166111081591</v>
      </c>
      <c r="O33" s="22">
        <f t="shared" ca="1" si="0"/>
        <v>14293.399333297908</v>
      </c>
      <c r="P33" s="242">
        <f t="shared" ca="1" si="1"/>
        <v>21440.098999946862</v>
      </c>
      <c r="Q33" s="1"/>
    </row>
    <row r="34" spans="2:17" x14ac:dyDescent="0.35">
      <c r="J34" s="3" t="s">
        <v>34</v>
      </c>
      <c r="L34" s="362">
        <f>Dashboard!E20</f>
        <v>4</v>
      </c>
      <c r="M34" s="21"/>
      <c r="N34" s="22">
        <f ca="1">StreamTable(10,J34)</f>
        <v>29777.915277703974</v>
      </c>
      <c r="O34" s="22">
        <f t="shared" ca="1" si="0"/>
        <v>357334.98333244771</v>
      </c>
      <c r="P34" s="242">
        <f t="shared" ca="1" si="1"/>
        <v>1429339.9333297908</v>
      </c>
      <c r="Q34" s="1"/>
    </row>
    <row r="35" spans="2:17" x14ac:dyDescent="0.35">
      <c r="J35" s="3" t="s">
        <v>10</v>
      </c>
      <c r="L35" s="362">
        <f>Dashboard!E21</f>
        <v>9</v>
      </c>
      <c r="M35" s="21"/>
      <c r="N35" s="22">
        <f ca="1">StreamTable(10,J35)</f>
        <v>29777.915277703974</v>
      </c>
      <c r="O35" s="22">
        <f t="shared" ca="1" si="0"/>
        <v>357334.98333244771</v>
      </c>
      <c r="P35" s="242">
        <f t="shared" ca="1" si="1"/>
        <v>3216014.8499920294</v>
      </c>
      <c r="Q35" s="1"/>
    </row>
    <row r="36" spans="2:17" x14ac:dyDescent="0.35">
      <c r="J36" s="3" t="s">
        <v>371</v>
      </c>
      <c r="L36" s="362">
        <f>Dashboard!E22</f>
        <v>0.55000000000000004</v>
      </c>
      <c r="M36" s="21"/>
      <c r="N36" s="22">
        <f ca="1">StreamTable(10,J36)</f>
        <v>89333.745833111927</v>
      </c>
      <c r="O36" s="22">
        <f t="shared" ca="1" si="0"/>
        <v>1072004.9499973431</v>
      </c>
      <c r="P36" s="242">
        <f t="shared" ca="1" si="1"/>
        <v>589602.72249853879</v>
      </c>
      <c r="Q36" s="1"/>
    </row>
    <row r="37" spans="2:17" x14ac:dyDescent="0.35">
      <c r="J37" s="3" t="s">
        <v>8</v>
      </c>
      <c r="L37" s="241">
        <v>2E-3</v>
      </c>
      <c r="M37" s="21"/>
      <c r="N37" s="22">
        <f ca="1">StreamTable(5,J37)+StreamTable(10,J37)+EquipmentList("Total", "Process water")</f>
        <v>2977856.4986947034</v>
      </c>
      <c r="O37" s="22">
        <f t="shared" ca="1" si="0"/>
        <v>35734277.984336443</v>
      </c>
      <c r="P37" s="242">
        <f t="shared" ca="1" si="1"/>
        <v>71468.555968672881</v>
      </c>
      <c r="Q37" s="1"/>
    </row>
    <row r="38" spans="2:17" x14ac:dyDescent="0.35">
      <c r="J38" s="134" t="s">
        <v>11</v>
      </c>
      <c r="K38" s="124"/>
      <c r="L38" s="363">
        <f>Dashboard!E23</f>
        <v>4</v>
      </c>
      <c r="M38" s="245"/>
      <c r="N38" s="246">
        <f ca="1">StreamTable(10,J38)</f>
        <v>29777.915277703974</v>
      </c>
      <c r="O38" s="246">
        <f t="shared" ca="1" si="0"/>
        <v>357334.98333244771</v>
      </c>
      <c r="P38" s="247">
        <f t="shared" ca="1" si="1"/>
        <v>1429339.9333297908</v>
      </c>
      <c r="Q38" s="1"/>
    </row>
    <row r="39" spans="2:17" x14ac:dyDescent="0.35">
      <c r="J39" s="187" t="s">
        <v>59</v>
      </c>
      <c r="K39" s="187"/>
      <c r="L39" s="248"/>
      <c r="M39" s="249"/>
      <c r="N39" s="249"/>
      <c r="O39" s="250"/>
      <c r="P39" s="250">
        <f ca="1">SUM(P29:P38)</f>
        <v>8136519.1297820173</v>
      </c>
    </row>
    <row r="40" spans="2:17" x14ac:dyDescent="0.35">
      <c r="D40" s="21"/>
      <c r="E40" s="21"/>
      <c r="F40" s="21"/>
      <c r="G40" s="21"/>
      <c r="H40" s="21"/>
    </row>
    <row r="41" spans="2:17" x14ac:dyDescent="0.35">
      <c r="D41" s="21"/>
      <c r="E41" s="21"/>
      <c r="F41" s="21"/>
      <c r="G41" s="21"/>
      <c r="H41" s="21"/>
    </row>
    <row r="44" spans="2:17" ht="23.5" x14ac:dyDescent="0.55000000000000004">
      <c r="B44" s="140" t="s">
        <v>359</v>
      </c>
      <c r="C44" s="140"/>
      <c r="D44" s="120" t="s">
        <v>360</v>
      </c>
      <c r="E44" s="120" t="s">
        <v>361</v>
      </c>
      <c r="F44" s="120" t="s">
        <v>362</v>
      </c>
      <c r="G44" s="120" t="s">
        <v>363</v>
      </c>
      <c r="H44" s="120" t="s">
        <v>357</v>
      </c>
      <c r="J44" s="140" t="s">
        <v>316</v>
      </c>
      <c r="K44" s="140"/>
      <c r="L44" s="120" t="s">
        <v>353</v>
      </c>
      <c r="M44" s="120"/>
      <c r="N44" s="120" t="s">
        <v>355</v>
      </c>
      <c r="O44" s="120" t="s">
        <v>358</v>
      </c>
      <c r="P44" s="120" t="s">
        <v>357</v>
      </c>
    </row>
    <row r="45" spans="2:17" x14ac:dyDescent="0.35">
      <c r="B45" s="3" t="s">
        <v>244</v>
      </c>
      <c r="D45" s="361">
        <f>Dashboard!E28</f>
        <v>0.11</v>
      </c>
      <c r="E45" s="243" t="s">
        <v>214</v>
      </c>
      <c r="F45" s="22">
        <f ca="1">EquipmentList("Total",B45)</f>
        <v>3421192.8842866104</v>
      </c>
      <c r="G45" s="22">
        <f ca="1">F45*Batches_per_year</f>
        <v>41054314.611439325</v>
      </c>
      <c r="H45" s="242">
        <f ca="1">G45*D45</f>
        <v>4515974.6072583254</v>
      </c>
      <c r="J45" s="3" t="s">
        <v>352</v>
      </c>
      <c r="K45" s="3"/>
      <c r="L45" s="362">
        <f>Dashboard!E27</f>
        <v>85</v>
      </c>
      <c r="M45" s="21"/>
      <c r="N45" s="252">
        <f ca="1">EquipmentList("Total","Operating labor")</f>
        <v>564.84999999999991</v>
      </c>
      <c r="O45" s="221">
        <f ca="1">N45*Batches_per_year</f>
        <v>6778.1999999999989</v>
      </c>
      <c r="P45" s="242">
        <f ca="1">L45*O45</f>
        <v>576146.99999999988</v>
      </c>
    </row>
    <row r="46" spans="2:17" x14ac:dyDescent="0.35">
      <c r="B46" s="3" t="s">
        <v>207</v>
      </c>
      <c r="D46" s="241">
        <v>20</v>
      </c>
      <c r="E46" s="243" t="s">
        <v>364</v>
      </c>
      <c r="F46" s="22">
        <f ca="1">EquipmentList("Total",B46)</f>
        <v>2042.1032591478981</v>
      </c>
      <c r="G46" s="22">
        <f ca="1">F46*Batches_per_year</f>
        <v>24505.239109774779</v>
      </c>
      <c r="H46" s="242">
        <f ca="1">G46*D46</f>
        <v>490104.78219549556</v>
      </c>
      <c r="J46" s="134" t="s">
        <v>354</v>
      </c>
      <c r="K46" s="134"/>
      <c r="L46" s="244">
        <v>100</v>
      </c>
      <c r="M46" s="253"/>
      <c r="N46" s="254">
        <v>150</v>
      </c>
      <c r="O46" s="253">
        <f>N46*Batches_per_year</f>
        <v>1800</v>
      </c>
      <c r="P46" s="247">
        <f>L46*O46</f>
        <v>180000</v>
      </c>
    </row>
    <row r="47" spans="2:17" x14ac:dyDescent="0.35">
      <c r="B47" s="3" t="s">
        <v>194</v>
      </c>
      <c r="D47" s="241">
        <v>0.17499999999999999</v>
      </c>
      <c r="E47" s="243" t="s">
        <v>364</v>
      </c>
      <c r="F47" s="22">
        <f ca="1">EquipmentList("Total",B47)</f>
        <v>282376.42929329077</v>
      </c>
      <c r="G47" s="22">
        <f ca="1">F47*Batches_per_year</f>
        <v>3388517.1515194895</v>
      </c>
      <c r="H47" s="242">
        <f ca="1">G47*D47</f>
        <v>592990.50151591061</v>
      </c>
      <c r="J47" s="187" t="s">
        <v>59</v>
      </c>
      <c r="K47" s="187"/>
      <c r="L47" s="248"/>
      <c r="M47" s="21"/>
      <c r="N47" s="249">
        <f ca="1">SUM(N45:N46)</f>
        <v>714.84999999999991</v>
      </c>
      <c r="O47" s="249">
        <f ca="1">SUM(O45:O46)</f>
        <v>8578.1999999999989</v>
      </c>
      <c r="P47" s="250">
        <f ca="1">SUM(P45:P46)</f>
        <v>756146.99999999988</v>
      </c>
    </row>
    <row r="48" spans="2:17" x14ac:dyDescent="0.35">
      <c r="B48" s="134" t="s">
        <v>245</v>
      </c>
      <c r="C48" s="124"/>
      <c r="D48" s="251">
        <v>2.5000000000000001E-2</v>
      </c>
      <c r="E48" s="244" t="s">
        <v>364</v>
      </c>
      <c r="F48" s="246">
        <f ca="1">EquipmentList("Total",B48)</f>
        <v>244693.6747664978</v>
      </c>
      <c r="G48" s="246">
        <f ca="1">F48*Batches_per_year</f>
        <v>2936324.0971979736</v>
      </c>
      <c r="H48" s="247">
        <f ca="1">G48*D48</f>
        <v>73408.102429949344</v>
      </c>
    </row>
    <row r="49" spans="2:16" x14ac:dyDescent="0.35">
      <c r="B49" s="187" t="s">
        <v>59</v>
      </c>
      <c r="C49" s="187"/>
      <c r="D49" s="248"/>
      <c r="E49" s="249"/>
      <c r="F49" s="249"/>
      <c r="G49" s="250"/>
      <c r="H49" s="250">
        <f ca="1">SUM(H45:H48)</f>
        <v>5672477.9933996815</v>
      </c>
    </row>
    <row r="51" spans="2:16" x14ac:dyDescent="0.35">
      <c r="B51" s="187"/>
      <c r="C51" s="187"/>
      <c r="D51" s="248"/>
      <c r="E51" s="21"/>
      <c r="F51" s="249"/>
      <c r="G51" s="249"/>
      <c r="H51" s="250"/>
    </row>
    <row r="52" spans="2:16" x14ac:dyDescent="0.35">
      <c r="B52" s="187"/>
      <c r="C52" s="187"/>
      <c r="D52" s="248"/>
      <c r="E52" s="21"/>
      <c r="F52" s="249"/>
      <c r="G52" s="249"/>
      <c r="H52" s="250"/>
    </row>
    <row r="60" spans="2:16" ht="23.5" x14ac:dyDescent="0.55000000000000004">
      <c r="B60" s="140" t="s">
        <v>372</v>
      </c>
      <c r="C60" s="140"/>
      <c r="D60" s="120" t="s">
        <v>369</v>
      </c>
      <c r="E60" s="120"/>
      <c r="F60" s="120" t="s">
        <v>118</v>
      </c>
      <c r="G60" s="120" t="s">
        <v>370</v>
      </c>
      <c r="H60" s="120" t="s">
        <v>357</v>
      </c>
      <c r="J60" s="140" t="s">
        <v>389</v>
      </c>
      <c r="K60" s="140"/>
      <c r="L60" s="120"/>
      <c r="M60" s="120"/>
      <c r="N60" s="120"/>
      <c r="O60" s="120"/>
      <c r="P60" s="120" t="s">
        <v>357</v>
      </c>
    </row>
    <row r="61" spans="2:16" x14ac:dyDescent="0.35">
      <c r="B61" s="3" t="s">
        <v>374</v>
      </c>
      <c r="D61" s="241">
        <v>4.0000000000000001E-3</v>
      </c>
      <c r="E61" s="21"/>
      <c r="F61" s="22">
        <f ca="1">StreamTable(555,"Mass per batch")</f>
        <v>1704118.865788888</v>
      </c>
      <c r="G61" s="22">
        <f ca="1">F61*Batches_per_year</f>
        <v>20449426.389466655</v>
      </c>
      <c r="H61" s="242">
        <f ca="1">D61*G61</f>
        <v>81797.705557866619</v>
      </c>
      <c r="J61" s="3" t="s">
        <v>379</v>
      </c>
      <c r="L61" s="364">
        <f>Dashboard!E29</f>
        <v>0.1</v>
      </c>
      <c r="M61" t="s">
        <v>292</v>
      </c>
      <c r="P61" s="159">
        <f ca="1">L61*Eq_PurchasedCost</f>
        <v>3871777.6737758089</v>
      </c>
    </row>
    <row r="62" spans="2:16" x14ac:dyDescent="0.35">
      <c r="B62" s="3" t="s">
        <v>373</v>
      </c>
      <c r="D62" s="243">
        <v>0.98</v>
      </c>
      <c r="E62" s="21"/>
      <c r="F62" s="22">
        <f ca="1">StreamTable(550,"Mass per batch")</f>
        <v>42777.345080524545</v>
      </c>
      <c r="G62" s="22">
        <f ca="1">F62*Batches_per_year</f>
        <v>513328.14096629457</v>
      </c>
      <c r="H62" s="242">
        <f ca="1">D62*G62</f>
        <v>503061.57814696868</v>
      </c>
      <c r="J62" s="3" t="s">
        <v>380</v>
      </c>
      <c r="L62" s="27">
        <v>0.01</v>
      </c>
      <c r="M62" t="s">
        <v>387</v>
      </c>
      <c r="P62" s="159">
        <f ca="1">L62*DirectFixedCapital</f>
        <v>1288332.7714424767</v>
      </c>
    </row>
    <row r="63" spans="2:16" x14ac:dyDescent="0.35">
      <c r="B63" s="3" t="s">
        <v>446</v>
      </c>
      <c r="D63" s="243"/>
      <c r="F63" s="22">
        <f ca="1">StreamTable(250,"Mass per batch")</f>
        <v>26140217.743757214</v>
      </c>
      <c r="G63" s="22">
        <f ca="1">F63*Batches_per_year</f>
        <v>313682612.92508656</v>
      </c>
      <c r="H63" s="242">
        <f ca="1">D63*G63</f>
        <v>0</v>
      </c>
      <c r="J63" s="3" t="s">
        <v>381</v>
      </c>
      <c r="L63" s="27">
        <v>0.02</v>
      </c>
      <c r="M63" t="s">
        <v>387</v>
      </c>
      <c r="P63" s="159">
        <f ca="1">L63*DirectFixedCapital</f>
        <v>2576665.5428849533</v>
      </c>
    </row>
    <row r="64" spans="2:16" x14ac:dyDescent="0.35">
      <c r="B64" s="3" t="s">
        <v>375</v>
      </c>
      <c r="D64" s="243"/>
      <c r="E64" s="21"/>
      <c r="F64" s="22">
        <f ca="1">StreamTable(450,"Mass per batch")</f>
        <v>903573.01310143911</v>
      </c>
      <c r="G64" s="22">
        <f ca="1">F64*Batches_per_year</f>
        <v>10842876.15721727</v>
      </c>
      <c r="H64" s="242">
        <f ca="1">D64*G64</f>
        <v>0</v>
      </c>
      <c r="J64" s="134" t="s">
        <v>382</v>
      </c>
      <c r="K64" s="124"/>
      <c r="L64" s="453">
        <v>0.02</v>
      </c>
      <c r="M64" s="124" t="s">
        <v>387</v>
      </c>
      <c r="N64" s="124"/>
      <c r="O64" s="124"/>
      <c r="P64" s="186">
        <f ca="1">L64*DirectFixedCapital</f>
        <v>2576665.5428849533</v>
      </c>
    </row>
    <row r="65" spans="2:16" x14ac:dyDescent="0.35">
      <c r="B65" s="134" t="s">
        <v>376</v>
      </c>
      <c r="C65" s="124"/>
      <c r="D65" s="244"/>
      <c r="E65" s="245"/>
      <c r="F65" s="246">
        <f ca="1">StreamTable(650,"Mass per batch")</f>
        <v>2504258.2064731368</v>
      </c>
      <c r="G65" s="246">
        <f ca="1">F65*Batches_per_year</f>
        <v>30051098.477677643</v>
      </c>
      <c r="H65" s="247">
        <f ca="1">D65*G65</f>
        <v>0</v>
      </c>
      <c r="J65" s="187" t="s">
        <v>59</v>
      </c>
      <c r="K65" s="188"/>
      <c r="L65" s="188"/>
      <c r="M65" s="188"/>
      <c r="P65" s="189">
        <f ca="1">SUM(P61:P64)</f>
        <v>10313441.530988192</v>
      </c>
    </row>
    <row r="66" spans="2:16" x14ac:dyDescent="0.35">
      <c r="B66" s="187" t="s">
        <v>59</v>
      </c>
      <c r="C66" s="187"/>
      <c r="D66" s="248"/>
      <c r="E66" s="249"/>
      <c r="F66" s="249"/>
      <c r="G66" s="250"/>
      <c r="H66" s="250">
        <f ca="1">SUM(H61:H65)</f>
        <v>584859.28370483534</v>
      </c>
    </row>
    <row r="76" spans="2:16" ht="23.5" x14ac:dyDescent="0.55000000000000004">
      <c r="B76" s="140" t="s">
        <v>377</v>
      </c>
      <c r="C76" s="140"/>
      <c r="D76" s="120" t="s">
        <v>356</v>
      </c>
      <c r="E76" s="120"/>
      <c r="F76" s="120"/>
      <c r="G76" s="120"/>
      <c r="H76" s="120" t="s">
        <v>357</v>
      </c>
    </row>
    <row r="77" spans="2:16" x14ac:dyDescent="0.35">
      <c r="B77" s="3" t="s">
        <v>390</v>
      </c>
      <c r="D77" s="158">
        <v>1000</v>
      </c>
      <c r="H77" s="159">
        <f>D77*Batches_per_year</f>
        <v>12000</v>
      </c>
    </row>
    <row r="78" spans="2:16" x14ac:dyDescent="0.35">
      <c r="B78" s="134" t="s">
        <v>391</v>
      </c>
      <c r="C78" s="124"/>
      <c r="D78" s="158">
        <v>750</v>
      </c>
      <c r="E78" s="124"/>
      <c r="F78" s="124"/>
      <c r="G78" s="124"/>
      <c r="H78" s="186">
        <f>D78*Batches_per_year</f>
        <v>9000</v>
      </c>
    </row>
    <row r="79" spans="2:16" x14ac:dyDescent="0.35">
      <c r="B79" s="187" t="s">
        <v>59</v>
      </c>
      <c r="C79" s="188"/>
      <c r="D79" s="188"/>
      <c r="H79" s="189">
        <f>SUM(H77:H78)</f>
        <v>21000</v>
      </c>
    </row>
    <row r="84" spans="2:2" x14ac:dyDescent="0.35">
      <c r="B84" s="3"/>
    </row>
  </sheetData>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9" tint="0.39997558519241921"/>
  </sheetPr>
  <dimension ref="A1:S46"/>
  <sheetViews>
    <sheetView showGridLines="0" zoomScale="85" zoomScaleNormal="85" workbookViewId="0">
      <selection activeCell="L123" sqref="L123"/>
    </sheetView>
  </sheetViews>
  <sheetFormatPr defaultColWidth="11.453125" defaultRowHeight="14.5" x14ac:dyDescent="0.35"/>
  <cols>
    <col min="1" max="1" width="2.81640625" customWidth="1"/>
    <col min="4" max="4" width="12.1796875" customWidth="1"/>
    <col min="8" max="8" width="12" customWidth="1"/>
  </cols>
  <sheetData>
    <row r="1" spans="1:19" s="146" customFormat="1" ht="26" x14ac:dyDescent="0.6">
      <c r="A1" s="145" t="s">
        <v>412</v>
      </c>
      <c r="I1" s="147"/>
      <c r="N1" s="148"/>
      <c r="Q1" s="149"/>
      <c r="R1" s="150"/>
    </row>
    <row r="2" spans="1:19" ht="15.5" x14ac:dyDescent="0.35">
      <c r="B2" s="151" t="s">
        <v>430</v>
      </c>
    </row>
    <row r="5" spans="1:19" ht="23.5" x14ac:dyDescent="0.55000000000000004">
      <c r="B5" s="311" t="s">
        <v>426</v>
      </c>
      <c r="C5" s="140"/>
      <c r="D5" s="120"/>
      <c r="F5" s="311" t="s">
        <v>411</v>
      </c>
      <c r="G5" s="140"/>
      <c r="H5" s="120"/>
      <c r="I5" s="120"/>
    </row>
    <row r="6" spans="1:19" x14ac:dyDescent="0.35">
      <c r="B6" s="3" t="s">
        <v>408</v>
      </c>
      <c r="D6" s="5">
        <v>0.28999999999999998</v>
      </c>
      <c r="F6" s="3" t="s">
        <v>424</v>
      </c>
      <c r="H6" s="315">
        <f ca="1">IRR(E38:S38)</f>
        <v>0.1738735901276085</v>
      </c>
    </row>
    <row r="7" spans="1:19" x14ac:dyDescent="0.35">
      <c r="B7" s="3" t="s">
        <v>423</v>
      </c>
      <c r="D7" s="5">
        <v>0.1</v>
      </c>
      <c r="F7" s="3" t="s">
        <v>425</v>
      </c>
      <c r="H7" s="316">
        <f ca="1">(NPV(DiscountRate,F38:S38)+E38)</f>
        <v>52.396376991164971</v>
      </c>
      <c r="I7" t="s">
        <v>416</v>
      </c>
    </row>
    <row r="8" spans="1:19" x14ac:dyDescent="0.35">
      <c r="F8" s="3" t="s">
        <v>528</v>
      </c>
      <c r="H8" s="20">
        <f ca="1">D46</f>
        <v>9.3192454421677429</v>
      </c>
      <c r="I8" t="s">
        <v>514</v>
      </c>
    </row>
    <row r="9" spans="1:19" x14ac:dyDescent="0.35">
      <c r="H9" s="313"/>
    </row>
    <row r="15" spans="1:19" ht="18.5" x14ac:dyDescent="0.45">
      <c r="D15" s="311" t="s">
        <v>413</v>
      </c>
      <c r="E15" s="320">
        <v>1</v>
      </c>
      <c r="F15" s="320">
        <v>2</v>
      </c>
      <c r="G15" s="320">
        <v>3</v>
      </c>
      <c r="H15" s="320">
        <v>4</v>
      </c>
      <c r="I15" s="320">
        <v>5</v>
      </c>
      <c r="J15" s="320">
        <v>6</v>
      </c>
      <c r="K15" s="320">
        <v>7</v>
      </c>
      <c r="L15" s="320">
        <v>8</v>
      </c>
      <c r="M15" s="320">
        <v>9</v>
      </c>
      <c r="N15" s="320">
        <v>10</v>
      </c>
      <c r="O15" s="320">
        <v>11</v>
      </c>
      <c r="P15" s="320">
        <v>12</v>
      </c>
      <c r="Q15" s="320">
        <v>13</v>
      </c>
      <c r="R15" s="320">
        <v>14</v>
      </c>
      <c r="S15" s="320">
        <v>15</v>
      </c>
    </row>
    <row r="17" spans="2:19" ht="23.5" x14ac:dyDescent="0.55000000000000004">
      <c r="B17" s="311" t="s">
        <v>414</v>
      </c>
      <c r="C17" s="140"/>
      <c r="D17" s="319" t="s">
        <v>416</v>
      </c>
      <c r="E17" s="318">
        <f ca="1">SUM(E19,E21)</f>
        <v>-38.649983143274298</v>
      </c>
      <c r="F17" s="318">
        <f t="shared" ref="F17:S17" ca="1" si="0">SUM(F19,F21)</f>
        <v>-51.533310857699064</v>
      </c>
      <c r="G17" s="318">
        <f t="shared" ca="1" si="0"/>
        <v>-40.164983483962949</v>
      </c>
      <c r="H17" s="318">
        <f t="shared" si="0"/>
        <v>0</v>
      </c>
      <c r="I17" s="318">
        <f t="shared" si="0"/>
        <v>0</v>
      </c>
      <c r="J17" s="318">
        <f t="shared" si="0"/>
        <v>0</v>
      </c>
      <c r="K17" s="318">
        <f t="shared" si="0"/>
        <v>0</v>
      </c>
      <c r="L17" s="318">
        <f t="shared" si="0"/>
        <v>0</v>
      </c>
      <c r="M17" s="318">
        <f t="shared" si="0"/>
        <v>0</v>
      </c>
      <c r="N17" s="318">
        <f t="shared" si="0"/>
        <v>0</v>
      </c>
      <c r="O17" s="318">
        <f t="shared" si="0"/>
        <v>0</v>
      </c>
      <c r="P17" s="318">
        <f t="shared" si="0"/>
        <v>0</v>
      </c>
      <c r="Q17" s="318">
        <f t="shared" si="0"/>
        <v>0</v>
      </c>
      <c r="R17" s="318">
        <f t="shared" si="0"/>
        <v>0</v>
      </c>
      <c r="S17" s="318">
        <f t="shared" ca="1" si="0"/>
        <v>7.956664197901036</v>
      </c>
    </row>
    <row r="18" spans="2:19" x14ac:dyDescent="0.35">
      <c r="B18" s="3" t="s">
        <v>415</v>
      </c>
      <c r="D18" t="s">
        <v>5</v>
      </c>
      <c r="E18" s="5">
        <v>0.3</v>
      </c>
      <c r="F18" s="5">
        <v>0.4</v>
      </c>
      <c r="G18" s="5">
        <v>0.3</v>
      </c>
      <c r="H18" s="4"/>
      <c r="I18" s="4"/>
      <c r="J18" s="4"/>
      <c r="K18" s="4"/>
      <c r="L18" s="4"/>
      <c r="M18" s="4"/>
      <c r="N18" s="4"/>
      <c r="O18" s="4"/>
      <c r="P18" s="4"/>
      <c r="Q18" s="4"/>
      <c r="R18" s="4"/>
      <c r="S18" s="5">
        <v>-0.05</v>
      </c>
    </row>
    <row r="19" spans="2:19" x14ac:dyDescent="0.35">
      <c r="B19" s="135"/>
      <c r="C19" s="125"/>
      <c r="D19" s="125" t="s">
        <v>416</v>
      </c>
      <c r="E19" s="314">
        <f ca="1">-E18*DirectFixedCapital/10^6</f>
        <v>-38.649983143274298</v>
      </c>
      <c r="F19" s="314">
        <f ca="1">-F18*DirectFixedCapital/10^6</f>
        <v>-51.533310857699064</v>
      </c>
      <c r="G19" s="314">
        <f ca="1">-G18*DirectFixedCapital/10^6</f>
        <v>-38.649983143274298</v>
      </c>
      <c r="S19" s="314">
        <f ca="1">-S18*DirectFixedCapital/10^6</f>
        <v>6.441663857212383</v>
      </c>
    </row>
    <row r="20" spans="2:19" x14ac:dyDescent="0.35">
      <c r="B20" s="3" t="s">
        <v>293</v>
      </c>
      <c r="D20" t="s">
        <v>5</v>
      </c>
      <c r="E20" s="5"/>
      <c r="F20" s="5"/>
      <c r="G20" s="5">
        <v>1</v>
      </c>
      <c r="H20" s="4"/>
      <c r="I20" s="4"/>
      <c r="J20" s="4"/>
      <c r="K20" s="4"/>
      <c r="L20" s="4"/>
      <c r="M20" s="4"/>
      <c r="N20" s="4"/>
      <c r="O20" s="4"/>
      <c r="P20" s="4"/>
      <c r="Q20" s="4"/>
      <c r="R20" s="4"/>
      <c r="S20" s="5">
        <v>-1</v>
      </c>
    </row>
    <row r="21" spans="2:19" x14ac:dyDescent="0.35">
      <c r="B21" s="135"/>
      <c r="C21" s="125"/>
      <c r="D21" s="125" t="s">
        <v>416</v>
      </c>
      <c r="E21" s="322"/>
      <c r="F21" s="19"/>
      <c r="G21" s="19">
        <f ca="1">-G20*Working_Capital/10^6</f>
        <v>-1.5150003406886534</v>
      </c>
      <c r="S21" s="19">
        <f ca="1">-S20*Working_Capital/10^6</f>
        <v>1.5150003406886534</v>
      </c>
    </row>
    <row r="22" spans="2:19" x14ac:dyDescent="0.35">
      <c r="B22" s="3" t="s">
        <v>400</v>
      </c>
      <c r="D22" t="s">
        <v>5</v>
      </c>
      <c r="E22" s="321"/>
      <c r="F22" s="5"/>
      <c r="G22" s="5">
        <v>1</v>
      </c>
      <c r="H22" s="4"/>
      <c r="I22" s="4"/>
      <c r="J22" s="4"/>
      <c r="K22" s="4"/>
      <c r="L22" s="4"/>
      <c r="M22" s="4"/>
      <c r="N22" s="4"/>
      <c r="O22" s="4"/>
      <c r="P22" s="4"/>
      <c r="Q22" s="4"/>
      <c r="R22" s="4"/>
      <c r="S22" s="4"/>
    </row>
    <row r="23" spans="2:19" x14ac:dyDescent="0.35">
      <c r="B23" s="3"/>
      <c r="D23" t="s">
        <v>416</v>
      </c>
      <c r="E23" s="19"/>
      <c r="F23" s="19"/>
      <c r="G23" s="19">
        <f ca="1">-G22*Startup_Costs/10^6</f>
        <v>-12.883327714424766</v>
      </c>
    </row>
    <row r="24" spans="2:19" x14ac:dyDescent="0.35">
      <c r="B24" s="3"/>
      <c r="E24" s="19"/>
      <c r="F24" s="19"/>
      <c r="G24" s="19"/>
    </row>
    <row r="26" spans="2:19" ht="23.5" x14ac:dyDescent="0.55000000000000004">
      <c r="B26" s="311" t="s">
        <v>407</v>
      </c>
      <c r="C26" s="140"/>
      <c r="D26" s="319" t="s">
        <v>416</v>
      </c>
      <c r="E26" s="318"/>
      <c r="F26" s="318"/>
      <c r="G26" s="318">
        <f t="shared" ref="G26:S26" ca="1" si="1">G28-G29</f>
        <v>17.257777531062636</v>
      </c>
      <c r="H26" s="318">
        <f t="shared" ca="1" si="1"/>
        <v>34.515555062125273</v>
      </c>
      <c r="I26" s="318">
        <f t="shared" ca="1" si="1"/>
        <v>34.515555062125273</v>
      </c>
      <c r="J26" s="318">
        <f t="shared" ca="1" si="1"/>
        <v>34.515555062125273</v>
      </c>
      <c r="K26" s="318">
        <f t="shared" ca="1" si="1"/>
        <v>34.515555062125273</v>
      </c>
      <c r="L26" s="318">
        <f t="shared" ca="1" si="1"/>
        <v>34.515555062125273</v>
      </c>
      <c r="M26" s="318">
        <f t="shared" ca="1" si="1"/>
        <v>34.515555062125273</v>
      </c>
      <c r="N26" s="318">
        <f t="shared" ca="1" si="1"/>
        <v>34.515555062125273</v>
      </c>
      <c r="O26" s="318">
        <f t="shared" ca="1" si="1"/>
        <v>34.515555062125273</v>
      </c>
      <c r="P26" s="318">
        <f t="shared" ca="1" si="1"/>
        <v>34.515555062125273</v>
      </c>
      <c r="Q26" s="318">
        <f t="shared" ca="1" si="1"/>
        <v>34.515555062125273</v>
      </c>
      <c r="R26" s="318">
        <f t="shared" ca="1" si="1"/>
        <v>34.515555062125273</v>
      </c>
      <c r="S26" s="318">
        <f t="shared" ca="1" si="1"/>
        <v>34.515555062125273</v>
      </c>
    </row>
    <row r="27" spans="2:19" x14ac:dyDescent="0.35">
      <c r="B27" s="3" t="s">
        <v>417</v>
      </c>
      <c r="D27" t="s">
        <v>5</v>
      </c>
      <c r="E27" s="4"/>
      <c r="F27" s="4"/>
      <c r="G27" s="5">
        <v>0.5</v>
      </c>
      <c r="H27" s="5">
        <v>1</v>
      </c>
      <c r="I27" s="5">
        <v>1</v>
      </c>
      <c r="J27" s="5">
        <v>1</v>
      </c>
      <c r="K27" s="5">
        <v>1</v>
      </c>
      <c r="L27" s="5">
        <v>1</v>
      </c>
      <c r="M27" s="5">
        <v>1</v>
      </c>
      <c r="N27" s="5">
        <v>1</v>
      </c>
      <c r="O27" s="5">
        <v>1</v>
      </c>
      <c r="P27" s="5">
        <v>1</v>
      </c>
      <c r="Q27" s="5">
        <v>1</v>
      </c>
      <c r="R27" s="5">
        <v>1</v>
      </c>
      <c r="S27" s="5">
        <v>1</v>
      </c>
    </row>
    <row r="28" spans="2:19" x14ac:dyDescent="0.35">
      <c r="B28" s="3" t="s">
        <v>394</v>
      </c>
      <c r="D28" t="s">
        <v>416</v>
      </c>
      <c r="G28" s="19">
        <f t="shared" ref="G28:S28" ca="1" si="2">G27*Revenue/10^6</f>
        <v>30</v>
      </c>
      <c r="H28" s="19">
        <f t="shared" ca="1" si="2"/>
        <v>60</v>
      </c>
      <c r="I28" s="19">
        <f t="shared" ca="1" si="2"/>
        <v>60</v>
      </c>
      <c r="J28" s="19">
        <f t="shared" ca="1" si="2"/>
        <v>60</v>
      </c>
      <c r="K28" s="19">
        <f t="shared" ca="1" si="2"/>
        <v>60</v>
      </c>
      <c r="L28" s="19">
        <f t="shared" ca="1" si="2"/>
        <v>60</v>
      </c>
      <c r="M28" s="19">
        <f t="shared" ca="1" si="2"/>
        <v>60</v>
      </c>
      <c r="N28" s="19">
        <f t="shared" ca="1" si="2"/>
        <v>60</v>
      </c>
      <c r="O28" s="19">
        <f t="shared" ca="1" si="2"/>
        <v>60</v>
      </c>
      <c r="P28" s="19">
        <f t="shared" ca="1" si="2"/>
        <v>60</v>
      </c>
      <c r="Q28" s="19">
        <f t="shared" ca="1" si="2"/>
        <v>60</v>
      </c>
      <c r="R28" s="19">
        <f t="shared" ca="1" si="2"/>
        <v>60</v>
      </c>
      <c r="S28" s="19">
        <f t="shared" ca="1" si="2"/>
        <v>60</v>
      </c>
    </row>
    <row r="29" spans="2:19" x14ac:dyDescent="0.35">
      <c r="B29" s="3" t="s">
        <v>392</v>
      </c>
      <c r="D29" t="s">
        <v>416</v>
      </c>
      <c r="G29" s="19">
        <f t="shared" ref="G29:S29" ca="1" si="3">G27*OpEx/10^6</f>
        <v>12.742222468937364</v>
      </c>
      <c r="H29" s="19">
        <f t="shared" ca="1" si="3"/>
        <v>25.484444937874727</v>
      </c>
      <c r="I29" s="19">
        <f t="shared" ca="1" si="3"/>
        <v>25.484444937874727</v>
      </c>
      <c r="J29" s="19">
        <f t="shared" ca="1" si="3"/>
        <v>25.484444937874727</v>
      </c>
      <c r="K29" s="19">
        <f t="shared" ca="1" si="3"/>
        <v>25.484444937874727</v>
      </c>
      <c r="L29" s="19">
        <f t="shared" ca="1" si="3"/>
        <v>25.484444937874727</v>
      </c>
      <c r="M29" s="19">
        <f t="shared" ca="1" si="3"/>
        <v>25.484444937874727</v>
      </c>
      <c r="N29" s="19">
        <f t="shared" ca="1" si="3"/>
        <v>25.484444937874727</v>
      </c>
      <c r="O29" s="19">
        <f t="shared" ca="1" si="3"/>
        <v>25.484444937874727</v>
      </c>
      <c r="P29" s="19">
        <f t="shared" ca="1" si="3"/>
        <v>25.484444937874727</v>
      </c>
      <c r="Q29" s="19">
        <f t="shared" ca="1" si="3"/>
        <v>25.484444937874727</v>
      </c>
      <c r="R29" s="19">
        <f t="shared" ca="1" si="3"/>
        <v>25.484444937874727</v>
      </c>
      <c r="S29" s="19">
        <f t="shared" ca="1" si="3"/>
        <v>25.484444937874727</v>
      </c>
    </row>
    <row r="32" spans="2:19" ht="23.5" x14ac:dyDescent="0.55000000000000004">
      <c r="B32" s="311" t="s">
        <v>409</v>
      </c>
      <c r="C32" s="140"/>
      <c r="D32" s="319" t="s">
        <v>416</v>
      </c>
      <c r="E32" s="318">
        <f t="shared" ref="E32:S32" si="4">E26-E35*IncomeTax</f>
        <v>0</v>
      </c>
      <c r="F32" s="318">
        <f t="shared" si="4"/>
        <v>0</v>
      </c>
      <c r="G32" s="318">
        <f t="shared" ca="1" si="4"/>
        <v>15.989187084237654</v>
      </c>
      <c r="H32" s="318">
        <f t="shared" ca="1" si="4"/>
        <v>28.242209131292128</v>
      </c>
      <c r="I32" s="318">
        <f t="shared" ca="1" si="4"/>
        <v>28.242209131292128</v>
      </c>
      <c r="J32" s="318">
        <f t="shared" ca="1" si="4"/>
        <v>28.242209131292128</v>
      </c>
      <c r="K32" s="318">
        <f t="shared" ca="1" si="4"/>
        <v>28.242209131292128</v>
      </c>
      <c r="L32" s="318">
        <f t="shared" ca="1" si="4"/>
        <v>28.242209131292128</v>
      </c>
      <c r="M32" s="318">
        <f t="shared" ca="1" si="4"/>
        <v>28.242209131292128</v>
      </c>
      <c r="N32" s="318">
        <f t="shared" ca="1" si="4"/>
        <v>28.242209131292128</v>
      </c>
      <c r="O32" s="318">
        <f t="shared" ca="1" si="4"/>
        <v>28.242209131292128</v>
      </c>
      <c r="P32" s="318">
        <f t="shared" ca="1" si="4"/>
        <v>28.242209131292128</v>
      </c>
      <c r="Q32" s="318">
        <f t="shared" ca="1" si="4"/>
        <v>24.506044094108944</v>
      </c>
      <c r="R32" s="318">
        <f t="shared" ca="1" si="4"/>
        <v>24.506044094108944</v>
      </c>
      <c r="S32" s="318">
        <f t="shared" ca="1" si="4"/>
        <v>24.506044094108944</v>
      </c>
    </row>
    <row r="33" spans="2:19" x14ac:dyDescent="0.35">
      <c r="B33" s="3" t="s">
        <v>386</v>
      </c>
      <c r="D33" t="s">
        <v>419</v>
      </c>
      <c r="E33" s="317"/>
      <c r="F33" s="317"/>
      <c r="G33" s="5">
        <v>0.1</v>
      </c>
      <c r="H33" s="5">
        <v>0.1</v>
      </c>
      <c r="I33" s="5">
        <v>0.1</v>
      </c>
      <c r="J33" s="5">
        <v>0.1</v>
      </c>
      <c r="K33" s="5">
        <v>0.1</v>
      </c>
      <c r="L33" s="5">
        <v>0.1</v>
      </c>
      <c r="M33" s="5">
        <v>0.1</v>
      </c>
      <c r="N33" s="5">
        <v>0.1</v>
      </c>
      <c r="O33" s="5">
        <v>0.1</v>
      </c>
      <c r="P33" s="5">
        <v>0.1</v>
      </c>
      <c r="Q33" s="317"/>
      <c r="R33" s="317"/>
      <c r="S33" s="317"/>
    </row>
    <row r="34" spans="2:19" x14ac:dyDescent="0.35">
      <c r="B34" s="135"/>
      <c r="C34" s="125"/>
      <c r="D34" s="125" t="s">
        <v>416</v>
      </c>
      <c r="E34" s="125"/>
      <c r="F34" s="125"/>
      <c r="G34" s="322">
        <f t="shared" ref="G34:P34" ca="1" si="5">G33*DirectFixedCapital/10^6</f>
        <v>12.883327714424766</v>
      </c>
      <c r="H34" s="322">
        <f t="shared" ca="1" si="5"/>
        <v>12.883327714424766</v>
      </c>
      <c r="I34" s="322">
        <f t="shared" ca="1" si="5"/>
        <v>12.883327714424766</v>
      </c>
      <c r="J34" s="322">
        <f t="shared" ca="1" si="5"/>
        <v>12.883327714424766</v>
      </c>
      <c r="K34" s="322">
        <f t="shared" ca="1" si="5"/>
        <v>12.883327714424766</v>
      </c>
      <c r="L34" s="322">
        <f t="shared" ca="1" si="5"/>
        <v>12.883327714424766</v>
      </c>
      <c r="M34" s="322">
        <f t="shared" ca="1" si="5"/>
        <v>12.883327714424766</v>
      </c>
      <c r="N34" s="322">
        <f t="shared" ca="1" si="5"/>
        <v>12.883327714424766</v>
      </c>
      <c r="O34" s="322">
        <f t="shared" ca="1" si="5"/>
        <v>12.883327714424766</v>
      </c>
      <c r="P34" s="322">
        <f t="shared" ca="1" si="5"/>
        <v>12.883327714424766</v>
      </c>
      <c r="Q34" s="125"/>
      <c r="R34" s="125"/>
      <c r="S34" s="125"/>
    </row>
    <row r="35" spans="2:19" x14ac:dyDescent="0.35">
      <c r="B35" s="3" t="s">
        <v>420</v>
      </c>
      <c r="D35" t="s">
        <v>416</v>
      </c>
      <c r="E35" s="19"/>
      <c r="F35" s="19"/>
      <c r="G35" s="19">
        <f t="shared" ref="G35:S35" ca="1" si="6">IF(G26-G34&gt;0,G26-G34,0)</f>
        <v>4.3744498166378705</v>
      </c>
      <c r="H35" s="19">
        <f t="shared" ca="1" si="6"/>
        <v>21.632227347700507</v>
      </c>
      <c r="I35" s="19">
        <f t="shared" ca="1" si="6"/>
        <v>21.632227347700507</v>
      </c>
      <c r="J35" s="19">
        <f t="shared" ca="1" si="6"/>
        <v>21.632227347700507</v>
      </c>
      <c r="K35" s="19">
        <f t="shared" ca="1" si="6"/>
        <v>21.632227347700507</v>
      </c>
      <c r="L35" s="19">
        <f t="shared" ca="1" si="6"/>
        <v>21.632227347700507</v>
      </c>
      <c r="M35" s="19">
        <f t="shared" ca="1" si="6"/>
        <v>21.632227347700507</v>
      </c>
      <c r="N35" s="19">
        <f t="shared" ca="1" si="6"/>
        <v>21.632227347700507</v>
      </c>
      <c r="O35" s="19">
        <f t="shared" ca="1" si="6"/>
        <v>21.632227347700507</v>
      </c>
      <c r="P35" s="19">
        <f t="shared" ca="1" si="6"/>
        <v>21.632227347700507</v>
      </c>
      <c r="Q35" s="19">
        <f t="shared" ca="1" si="6"/>
        <v>34.515555062125273</v>
      </c>
      <c r="R35" s="19">
        <f t="shared" ca="1" si="6"/>
        <v>34.515555062125273</v>
      </c>
      <c r="S35" s="19">
        <f t="shared" ca="1" si="6"/>
        <v>34.515555062125273</v>
      </c>
    </row>
    <row r="36" spans="2:19" x14ac:dyDescent="0.35">
      <c r="B36" s="3"/>
    </row>
    <row r="38" spans="2:19" ht="23.5" x14ac:dyDescent="0.55000000000000004">
      <c r="B38" s="311" t="s">
        <v>421</v>
      </c>
      <c r="C38" s="140"/>
      <c r="D38" s="319" t="s">
        <v>416</v>
      </c>
      <c r="E38" s="318">
        <f t="shared" ref="E38:S38" ca="1" si="7">E32+E17</f>
        <v>-38.649983143274298</v>
      </c>
      <c r="F38" s="318">
        <f t="shared" ca="1" si="7"/>
        <v>-51.533310857699064</v>
      </c>
      <c r="G38" s="318">
        <f t="shared" ca="1" si="7"/>
        <v>-24.175796399725293</v>
      </c>
      <c r="H38" s="318">
        <f t="shared" ca="1" si="7"/>
        <v>28.242209131292128</v>
      </c>
      <c r="I38" s="318">
        <f t="shared" ca="1" si="7"/>
        <v>28.242209131292128</v>
      </c>
      <c r="J38" s="318">
        <f t="shared" ca="1" si="7"/>
        <v>28.242209131292128</v>
      </c>
      <c r="K38" s="318">
        <f t="shared" ca="1" si="7"/>
        <v>28.242209131292128</v>
      </c>
      <c r="L38" s="318">
        <f t="shared" ca="1" si="7"/>
        <v>28.242209131292128</v>
      </c>
      <c r="M38" s="318">
        <f t="shared" ca="1" si="7"/>
        <v>28.242209131292128</v>
      </c>
      <c r="N38" s="318">
        <f t="shared" ca="1" si="7"/>
        <v>28.242209131292128</v>
      </c>
      <c r="O38" s="318">
        <f t="shared" ca="1" si="7"/>
        <v>28.242209131292128</v>
      </c>
      <c r="P38" s="318">
        <f t="shared" ca="1" si="7"/>
        <v>28.242209131292128</v>
      </c>
      <c r="Q38" s="318">
        <f t="shared" ca="1" si="7"/>
        <v>24.506044094108944</v>
      </c>
      <c r="R38" s="318">
        <f t="shared" ca="1" si="7"/>
        <v>24.506044094108944</v>
      </c>
      <c r="S38" s="318">
        <f t="shared" ca="1" si="7"/>
        <v>32.462708292009978</v>
      </c>
    </row>
    <row r="39" spans="2:19" x14ac:dyDescent="0.35">
      <c r="B39" s="3" t="s">
        <v>422</v>
      </c>
      <c r="D39" t="s">
        <v>416</v>
      </c>
      <c r="E39" s="314">
        <f ca="1">E38</f>
        <v>-38.649983143274298</v>
      </c>
      <c r="F39" s="314">
        <f ca="1">F38+E39</f>
        <v>-90.183294000973362</v>
      </c>
      <c r="G39" s="314">
        <f t="shared" ref="G39:S39" ca="1" si="8">G38+F39</f>
        <v>-114.35909040069865</v>
      </c>
      <c r="H39" s="314">
        <f t="shared" ca="1" si="8"/>
        <v>-86.11688126940652</v>
      </c>
      <c r="I39" s="314">
        <f t="shared" ca="1" si="8"/>
        <v>-57.874672138114391</v>
      </c>
      <c r="J39" s="314">
        <f t="shared" ca="1" si="8"/>
        <v>-29.632463006822263</v>
      </c>
      <c r="K39" s="314">
        <f t="shared" ca="1" si="8"/>
        <v>-1.390253875530135</v>
      </c>
      <c r="L39" s="314">
        <f t="shared" ca="1" si="8"/>
        <v>26.851955255761993</v>
      </c>
      <c r="M39" s="314">
        <f t="shared" ca="1" si="8"/>
        <v>55.094164387054121</v>
      </c>
      <c r="N39" s="314">
        <f t="shared" ca="1" si="8"/>
        <v>83.33637351834625</v>
      </c>
      <c r="O39" s="314">
        <f t="shared" ca="1" si="8"/>
        <v>111.57858264963838</v>
      </c>
      <c r="P39" s="314">
        <f t="shared" ca="1" si="8"/>
        <v>139.82079178093051</v>
      </c>
      <c r="Q39" s="314">
        <f t="shared" ca="1" si="8"/>
        <v>164.32683587503945</v>
      </c>
      <c r="R39" s="314">
        <f t="shared" ca="1" si="8"/>
        <v>188.83287996914839</v>
      </c>
      <c r="S39" s="314">
        <f t="shared" ca="1" si="8"/>
        <v>221.29558826115837</v>
      </c>
    </row>
    <row r="40" spans="2:19" x14ac:dyDescent="0.35">
      <c r="B40" s="3" t="s">
        <v>427</v>
      </c>
      <c r="D40" t="s">
        <v>416</v>
      </c>
      <c r="E40" s="19">
        <f t="shared" ref="E40:S40" ca="1" si="9">E38/(1+DiscountRate)^(E15-1)</f>
        <v>-38.649983143274298</v>
      </c>
      <c r="F40" s="19">
        <f t="shared" ca="1" si="9"/>
        <v>-46.848464416090053</v>
      </c>
      <c r="G40" s="19">
        <f t="shared" ca="1" si="9"/>
        <v>-19.979997024566355</v>
      </c>
      <c r="H40" s="19">
        <f t="shared" ca="1" si="9"/>
        <v>21.218789730497459</v>
      </c>
      <c r="I40" s="19">
        <f t="shared" ca="1" si="9"/>
        <v>19.289808845906784</v>
      </c>
      <c r="J40" s="19">
        <f t="shared" ca="1" si="9"/>
        <v>17.536189859915257</v>
      </c>
      <c r="K40" s="19">
        <f t="shared" ca="1" si="9"/>
        <v>15.94199078174114</v>
      </c>
      <c r="L40" s="19">
        <f t="shared" ca="1" si="9"/>
        <v>14.492718892491943</v>
      </c>
      <c r="M40" s="19">
        <f t="shared" ca="1" si="9"/>
        <v>13.175198993174495</v>
      </c>
      <c r="N40" s="19">
        <f t="shared" ca="1" si="9"/>
        <v>11.97745363015863</v>
      </c>
      <c r="O40" s="19">
        <f t="shared" ca="1" si="9"/>
        <v>10.888594209235118</v>
      </c>
      <c r="P40" s="19">
        <f t="shared" ca="1" si="9"/>
        <v>9.8987220083955592</v>
      </c>
      <c r="Q40" s="19">
        <f t="shared" ca="1" si="9"/>
        <v>7.8083808685519864</v>
      </c>
      <c r="R40" s="19">
        <f t="shared" ca="1" si="9"/>
        <v>7.0985280623199873</v>
      </c>
      <c r="S40" s="19">
        <f t="shared" ca="1" si="9"/>
        <v>8.5484456927073627</v>
      </c>
    </row>
    <row r="41" spans="2:19" x14ac:dyDescent="0.35">
      <c r="B41" s="3" t="s">
        <v>428</v>
      </c>
      <c r="D41" t="s">
        <v>416</v>
      </c>
      <c r="E41" s="314">
        <f ca="1">E40</f>
        <v>-38.649983143274298</v>
      </c>
      <c r="F41" s="314">
        <f ca="1">F40+E41</f>
        <v>-85.498447559364351</v>
      </c>
      <c r="G41" s="314">
        <f t="shared" ref="G41:S41" ca="1" si="10">G40+F41</f>
        <v>-105.47844458393071</v>
      </c>
      <c r="H41" s="314">
        <f t="shared" ca="1" si="10"/>
        <v>-84.259654853433247</v>
      </c>
      <c r="I41" s="314">
        <f t="shared" ca="1" si="10"/>
        <v>-64.969846007526456</v>
      </c>
      <c r="J41" s="314">
        <f t="shared" ca="1" si="10"/>
        <v>-47.433656147611202</v>
      </c>
      <c r="K41" s="314">
        <f t="shared" ca="1" si="10"/>
        <v>-31.491665365870062</v>
      </c>
      <c r="L41" s="314">
        <f t="shared" ca="1" si="10"/>
        <v>-16.998946473378119</v>
      </c>
      <c r="M41" s="314">
        <f t="shared" ca="1" si="10"/>
        <v>-3.8237474802036235</v>
      </c>
      <c r="N41" s="314">
        <f t="shared" ca="1" si="10"/>
        <v>8.1537061499550063</v>
      </c>
      <c r="O41" s="314">
        <f t="shared" ca="1" si="10"/>
        <v>19.042300359190122</v>
      </c>
      <c r="P41" s="314">
        <f t="shared" ca="1" si="10"/>
        <v>28.941022367585681</v>
      </c>
      <c r="Q41" s="314">
        <f t="shared" ca="1" si="10"/>
        <v>36.749403236137667</v>
      </c>
      <c r="R41" s="314">
        <f t="shared" ca="1" si="10"/>
        <v>43.847931298457652</v>
      </c>
      <c r="S41" s="314">
        <f t="shared" ca="1" si="10"/>
        <v>52.396376991165013</v>
      </c>
    </row>
    <row r="44" spans="2:19" ht="23.5" x14ac:dyDescent="0.55000000000000004">
      <c r="B44" s="311" t="s">
        <v>525</v>
      </c>
      <c r="C44" s="140"/>
      <c r="D44" s="319"/>
      <c r="E44" s="318"/>
      <c r="F44" s="318"/>
      <c r="G44" s="318"/>
      <c r="H44" s="318"/>
      <c r="I44" s="318"/>
      <c r="J44" s="318"/>
      <c r="K44" s="318"/>
      <c r="L44" s="318"/>
      <c r="M44" s="318"/>
      <c r="N44" s="318"/>
      <c r="O44" s="318"/>
      <c r="P44" s="318"/>
      <c r="Q44" s="318"/>
      <c r="R44" s="318"/>
      <c r="S44" s="318"/>
    </row>
    <row r="45" spans="2:19" x14ac:dyDescent="0.35">
      <c r="B45" s="3" t="s">
        <v>527</v>
      </c>
      <c r="D45" s="464">
        <f ca="1">SUM(E45:S45)</f>
        <v>7.0492261022877898</v>
      </c>
      <c r="E45" s="20">
        <f ca="1">IF(AND(E39&gt;=0,D39&lt;0),-D39/(E39-D39),0)</f>
        <v>0</v>
      </c>
      <c r="F45" s="20">
        <f t="shared" ref="F45:K45" ca="1" si="11">IF(AND(F39&gt;=0,E39&lt;0),-E39/(F39-E39)+E15,0)</f>
        <v>0</v>
      </c>
      <c r="G45" s="20">
        <f t="shared" ca="1" si="11"/>
        <v>0</v>
      </c>
      <c r="H45" s="20">
        <f t="shared" ca="1" si="11"/>
        <v>0</v>
      </c>
      <c r="I45" s="20">
        <f t="shared" ca="1" si="11"/>
        <v>0</v>
      </c>
      <c r="J45" s="20">
        <f t="shared" ca="1" si="11"/>
        <v>0</v>
      </c>
      <c r="K45" s="20">
        <f t="shared" ca="1" si="11"/>
        <v>0</v>
      </c>
      <c r="L45" s="20">
        <f ca="1">IF(AND(L39&gt;=0,K39&lt;0),-K39/(L39-K39)+K15,0)</f>
        <v>7.0492261022877898</v>
      </c>
      <c r="M45" s="20">
        <f t="shared" ref="M45:S45" ca="1" si="12">IF(AND(M39&gt;=0,L39&lt;0),-L39/(M39-L39)+L15,0)</f>
        <v>0</v>
      </c>
      <c r="N45" s="20">
        <f t="shared" ca="1" si="12"/>
        <v>0</v>
      </c>
      <c r="O45" s="20">
        <f t="shared" ca="1" si="12"/>
        <v>0</v>
      </c>
      <c r="P45" s="20">
        <f t="shared" ca="1" si="12"/>
        <v>0</v>
      </c>
      <c r="Q45" s="20">
        <f t="shared" ca="1" si="12"/>
        <v>0</v>
      </c>
      <c r="R45" s="20">
        <f t="shared" ca="1" si="12"/>
        <v>0</v>
      </c>
      <c r="S45" s="20">
        <f t="shared" ca="1" si="12"/>
        <v>0</v>
      </c>
    </row>
    <row r="46" spans="2:19" x14ac:dyDescent="0.35">
      <c r="B46" s="463" t="s">
        <v>526</v>
      </c>
      <c r="C46" s="462"/>
      <c r="D46" s="465">
        <f ca="1">SUM(E46:S46)</f>
        <v>9.3192454421677429</v>
      </c>
      <c r="E46" s="20">
        <f ca="1">IF(AND(E41&gt;=0,D41&lt;0),-D41/(E41-D41),0)</f>
        <v>0</v>
      </c>
      <c r="F46" s="20">
        <f t="shared" ref="F46:K46" ca="1" si="13">IF(AND(F41&gt;=0,E41&lt;0),-E41/(F41-E41)+E15,0)</f>
        <v>0</v>
      </c>
      <c r="G46" s="20">
        <f t="shared" ca="1" si="13"/>
        <v>0</v>
      </c>
      <c r="H46" s="20">
        <f t="shared" ca="1" si="13"/>
        <v>0</v>
      </c>
      <c r="I46" s="20">
        <f t="shared" ca="1" si="13"/>
        <v>0</v>
      </c>
      <c r="J46" s="20">
        <f t="shared" ca="1" si="13"/>
        <v>0</v>
      </c>
      <c r="K46" s="20">
        <f t="shared" ca="1" si="13"/>
        <v>0</v>
      </c>
      <c r="L46" s="20">
        <f ca="1">IF(AND(L41&gt;=0,K41&lt;0),-K41/(L41-K41)+K15,0)</f>
        <v>0</v>
      </c>
      <c r="M46" s="20">
        <f t="shared" ref="M46:S46" ca="1" si="14">IF(AND(M41&gt;=0,L41&lt;0),-L41/(M41-L41)+L15,0)</f>
        <v>0</v>
      </c>
      <c r="N46" s="20">
        <f t="shared" ca="1" si="14"/>
        <v>9.3192454421677429</v>
      </c>
      <c r="O46" s="20">
        <f t="shared" ca="1" si="14"/>
        <v>0</v>
      </c>
      <c r="P46" s="20">
        <f t="shared" ca="1" si="14"/>
        <v>0</v>
      </c>
      <c r="Q46" s="20">
        <f t="shared" ca="1" si="14"/>
        <v>0</v>
      </c>
      <c r="R46" s="20">
        <f t="shared" ca="1" si="14"/>
        <v>0</v>
      </c>
      <c r="S46" s="20">
        <f t="shared" ca="1" si="14"/>
        <v>0</v>
      </c>
    </row>
  </sheetData>
  <pageMargins left="0.7" right="0.7" top="0.75" bottom="0.75" header="0.3" footer="0.3"/>
  <pageSetup orientation="portrait" horizontalDpi="4294967293" verticalDpi="0"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21"/>
  <sheetViews>
    <sheetView showGridLines="0" zoomScale="85" zoomScaleNormal="85" workbookViewId="0">
      <selection activeCell="L123" sqref="L123"/>
    </sheetView>
  </sheetViews>
  <sheetFormatPr defaultColWidth="11.453125" defaultRowHeight="14.5" x14ac:dyDescent="0.35"/>
  <cols>
    <col min="1" max="1" width="2.81640625" customWidth="1"/>
  </cols>
  <sheetData>
    <row r="1" spans="1:18" s="146" customFormat="1" ht="26" x14ac:dyDescent="0.6">
      <c r="A1" s="145" t="s">
        <v>529</v>
      </c>
      <c r="I1" s="147"/>
      <c r="N1" s="148"/>
      <c r="Q1" s="149"/>
      <c r="R1" s="150"/>
    </row>
    <row r="2" spans="1:18" ht="15.5" x14ac:dyDescent="0.35">
      <c r="B2" s="151" t="s">
        <v>530</v>
      </c>
    </row>
    <row r="3" spans="1:18" ht="15.5" x14ac:dyDescent="0.35">
      <c r="B3" s="151"/>
    </row>
    <row r="5" spans="1:18" ht="23.5" x14ac:dyDescent="0.55000000000000004">
      <c r="B5" s="311" t="s">
        <v>502</v>
      </c>
      <c r="C5" s="140"/>
      <c r="D5" s="324"/>
      <c r="E5" s="311"/>
      <c r="F5" s="311"/>
      <c r="H5" s="311" t="s">
        <v>503</v>
      </c>
      <c r="I5" s="140"/>
      <c r="J5" s="324"/>
      <c r="K5" s="311"/>
      <c r="L5" s="311"/>
    </row>
    <row r="6" spans="1:18" x14ac:dyDescent="0.35">
      <c r="B6" t="s">
        <v>196</v>
      </c>
      <c r="E6" s="99">
        <v>2.11</v>
      </c>
      <c r="F6" t="s">
        <v>162</v>
      </c>
      <c r="H6" t="s">
        <v>182</v>
      </c>
      <c r="K6" s="99">
        <v>25</v>
      </c>
      <c r="L6" t="s">
        <v>3</v>
      </c>
    </row>
    <row r="7" spans="1:18" x14ac:dyDescent="0.35">
      <c r="B7" t="s">
        <v>163</v>
      </c>
      <c r="E7" s="99">
        <v>4.18</v>
      </c>
      <c r="F7" t="s">
        <v>162</v>
      </c>
      <c r="H7" t="s">
        <v>183</v>
      </c>
      <c r="K7" s="99">
        <v>30</v>
      </c>
      <c r="L7" t="s">
        <v>3</v>
      </c>
    </row>
    <row r="8" spans="1:18" x14ac:dyDescent="0.35">
      <c r="B8" t="s">
        <v>164</v>
      </c>
      <c r="E8" s="113">
        <v>2100</v>
      </c>
      <c r="F8" t="s">
        <v>161</v>
      </c>
      <c r="H8" t="s">
        <v>184</v>
      </c>
      <c r="K8" s="111">
        <v>152</v>
      </c>
      <c r="L8" t="s">
        <v>3</v>
      </c>
    </row>
    <row r="9" spans="1:18" x14ac:dyDescent="0.35">
      <c r="B9" t="s">
        <v>179</v>
      </c>
      <c r="E9" s="109">
        <v>1.01</v>
      </c>
      <c r="F9" t="s">
        <v>162</v>
      </c>
      <c r="H9" t="s">
        <v>189</v>
      </c>
      <c r="K9" s="99">
        <v>25</v>
      </c>
      <c r="L9" t="s">
        <v>3</v>
      </c>
    </row>
    <row r="10" spans="1:18" x14ac:dyDescent="0.35">
      <c r="H10" t="s">
        <v>190</v>
      </c>
      <c r="K10" s="99">
        <v>30</v>
      </c>
      <c r="L10" t="s">
        <v>3</v>
      </c>
    </row>
    <row r="14" spans="1:18" ht="23.5" x14ac:dyDescent="0.55000000000000004">
      <c r="B14" s="311" t="s">
        <v>531</v>
      </c>
      <c r="C14" s="140"/>
      <c r="D14" s="324"/>
      <c r="E14" s="311"/>
      <c r="F14" s="311"/>
      <c r="H14" s="311" t="s">
        <v>521</v>
      </c>
      <c r="I14" s="140"/>
      <c r="J14" s="324"/>
      <c r="K14" s="311"/>
      <c r="L14" s="311"/>
    </row>
    <row r="15" spans="1:18" x14ac:dyDescent="0.35">
      <c r="B15" t="s">
        <v>35</v>
      </c>
      <c r="D15" t="s">
        <v>45</v>
      </c>
      <c r="E15" s="360">
        <v>31.997999999999998</v>
      </c>
      <c r="F15" t="s">
        <v>63</v>
      </c>
      <c r="H15" t="s">
        <v>327</v>
      </c>
      <c r="I15" s="371"/>
      <c r="K15" s="479">
        <v>31535999.999999989</v>
      </c>
      <c r="L15" t="s">
        <v>513</v>
      </c>
    </row>
    <row r="16" spans="1:18" x14ac:dyDescent="0.35">
      <c r="B16" t="s">
        <v>21</v>
      </c>
      <c r="D16" t="s">
        <v>18</v>
      </c>
      <c r="E16" s="360">
        <v>28.013999999999999</v>
      </c>
      <c r="F16" t="s">
        <v>63</v>
      </c>
      <c r="K16" s="479">
        <v>3600</v>
      </c>
      <c r="L16" t="s">
        <v>516</v>
      </c>
    </row>
    <row r="17" spans="8:17" x14ac:dyDescent="0.35">
      <c r="K17" s="479">
        <v>60</v>
      </c>
      <c r="L17" t="s">
        <v>517</v>
      </c>
    </row>
    <row r="18" spans="8:17" x14ac:dyDescent="0.35">
      <c r="H18" t="s">
        <v>522</v>
      </c>
      <c r="K18" s="479">
        <v>1000</v>
      </c>
      <c r="L18" t="s">
        <v>515</v>
      </c>
    </row>
    <row r="19" spans="8:17" x14ac:dyDescent="0.35">
      <c r="H19" t="s">
        <v>523</v>
      </c>
      <c r="K19" s="479">
        <v>3599.9999999999968</v>
      </c>
      <c r="L19" t="s">
        <v>519</v>
      </c>
    </row>
    <row r="20" spans="8:17" x14ac:dyDescent="0.35">
      <c r="H20" t="s">
        <v>188</v>
      </c>
      <c r="K20" s="479">
        <v>99.999999999999986</v>
      </c>
      <c r="L20" t="s">
        <v>520</v>
      </c>
      <c r="Q20" s="2"/>
    </row>
    <row r="21" spans="8:17" x14ac:dyDescent="0.35">
      <c r="H21" t="s">
        <v>524</v>
      </c>
      <c r="K21" s="479">
        <v>23.644740196608598</v>
      </c>
      <c r="L21" t="s">
        <v>518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61</vt:i4>
      </vt:variant>
    </vt:vector>
  </HeadingPairs>
  <TitlesOfParts>
    <vt:vector size="71" baseType="lpstr">
      <vt:lpstr>Orientation</vt:lpstr>
      <vt:lpstr>Dashboard</vt:lpstr>
      <vt:lpstr>Tornado</vt:lpstr>
      <vt:lpstr>Process model</vt:lpstr>
      <vt:lpstr>Equipment sizing</vt:lpstr>
      <vt:lpstr>Equipment costs</vt:lpstr>
      <vt:lpstr>CapEx</vt:lpstr>
      <vt:lpstr>OpEx &amp; Rev</vt:lpstr>
      <vt:lpstr>Cash flow</vt:lpstr>
      <vt:lpstr>Constants</vt:lpstr>
      <vt:lpstr>Batch_rate</vt:lpstr>
      <vt:lpstr>Batches_per_year</vt:lpstr>
      <vt:lpstr>Capacity</vt:lpstr>
      <vt:lpstr>Cost_Facilities</vt:lpstr>
      <vt:lpstr>Cost_Lab</vt:lpstr>
      <vt:lpstr>Cost_Labor</vt:lpstr>
      <vt:lpstr>Cost_RawMaterials</vt:lpstr>
      <vt:lpstr>Cost_Utilities</vt:lpstr>
      <vt:lpstr>Cost_Waste</vt:lpstr>
      <vt:lpstr>Cp_air</vt:lpstr>
      <vt:lpstr>Cp_GlucoseSyrup</vt:lpstr>
      <vt:lpstr>Cp_H2O</vt:lpstr>
      <vt:lpstr>DirectFixedCapital</vt:lpstr>
      <vt:lpstr>DiscountedPayback</vt:lpstr>
      <vt:lpstr>DiscountRate</vt:lpstr>
      <vt:lpstr>Eq_InstallationCost</vt:lpstr>
      <vt:lpstr>Eq_PurchasedCost</vt:lpstr>
      <vt:lpstr>EqData</vt:lpstr>
      <vt:lpstr>EqProperties</vt:lpstr>
      <vt:lpstr>EqTags</vt:lpstr>
      <vt:lpstr>Fermentation_Time</vt:lpstr>
      <vt:lpstr>Gross_product_rate</vt:lpstr>
      <vt:lpstr>Hvap_H2O</vt:lpstr>
      <vt:lpstr>IncomeTax</vt:lpstr>
      <vt:lpstr>Inoculum_ratio</vt:lpstr>
      <vt:lpstr>IRR</vt:lpstr>
      <vt:lpstr>kg_per_t</vt:lpstr>
      <vt:lpstr>kJ_per_kWh</vt:lpstr>
      <vt:lpstr>kPa_per_bar</vt:lpstr>
      <vt:lpstr>MW_air</vt:lpstr>
      <vt:lpstr>MW_N2</vt:lpstr>
      <vt:lpstr>MW_O2</vt:lpstr>
      <vt:lpstr>NPV</vt:lpstr>
      <vt:lpstr>OpEx</vt:lpstr>
      <vt:lpstr>PlantCapacity_kg_per_year</vt:lpstr>
      <vt:lpstr>Tornado!Print_Area</vt:lpstr>
      <vt:lpstr>Revenue</vt:lpstr>
      <vt:lpstr>s_per_h</vt:lpstr>
      <vt:lpstr>s_per_min</vt:lpstr>
      <vt:lpstr>s_per_yr</vt:lpstr>
      <vt:lpstr>scm_per_kmol</vt:lpstr>
      <vt:lpstr>Startup_Costs</vt:lpstr>
      <vt:lpstr>StreamData</vt:lpstr>
      <vt:lpstr>StreamNumbers</vt:lpstr>
      <vt:lpstr>StreamProperties</vt:lpstr>
      <vt:lpstr>T_ChilledWater_Return</vt:lpstr>
      <vt:lpstr>T_ChilledWater_Supply</vt:lpstr>
      <vt:lpstr>T_CW_return</vt:lpstr>
      <vt:lpstr>T_CW_supply</vt:lpstr>
      <vt:lpstr>Tornado!T_Data</vt:lpstr>
      <vt:lpstr>Tornado!T_input</vt:lpstr>
      <vt:lpstr>Tornado!T_Metric</vt:lpstr>
      <vt:lpstr>Tornado!T_NumberFormat</vt:lpstr>
      <vt:lpstr>Tornado!T_Order</vt:lpstr>
      <vt:lpstr>Tornado!T_Parameters</vt:lpstr>
      <vt:lpstr>Tornado!T_refs</vt:lpstr>
      <vt:lpstr>Tornado!T_Result</vt:lpstr>
      <vt:lpstr>T_steam</vt:lpstr>
      <vt:lpstr>Tornado!T_Table</vt:lpstr>
      <vt:lpstr>TotalCapitalInvestment</vt:lpstr>
      <vt:lpstr>Working_Capital</vt:lpstr>
    </vt:vector>
  </TitlesOfParts>
  <Company>Burk Engineering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Riboflavin Demo TEM</dc:title>
  <dc:creator>Chris Burk</dc:creator>
  <cp:lastModifiedBy>Beth</cp:lastModifiedBy>
  <dcterms:created xsi:type="dcterms:W3CDTF">2017-04-06T21:10:26Z</dcterms:created>
  <dcterms:modified xsi:type="dcterms:W3CDTF">2018-03-29T23:19:24Z</dcterms:modified>
</cp:coreProperties>
</file>